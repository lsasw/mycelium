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汇总" sheetId="1" state="visible" r:id="rId1"/>
    <sheet name="车型总表" sheetId="2" state="visible" r:id="rId2"/>
    <sheet name="资料说明" sheetId="3" state="visible" r:id="rId3"/>
  </sheets>
  <definedNames>
    <definedName name="_xlnm._FilterDatabase" localSheetId="1" hidden="1">'车型总表'!$A$1:$V$115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FF1A1A1A"/>
      <sz val="10.5"/>
    </font>
    <font>
      <sz val="10.5"/>
    </font>
    <font>
      <b val="1"/>
      <color rgb="FFFFFFFF"/>
      <sz val="14"/>
    </font>
    <font>
      <b val="1"/>
      <sz val="10.5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9F2"/>
      </patternFill>
    </fill>
    <fill>
      <patternFill patternType="solid">
        <fgColor rgb="FF2B2F36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9" fontId="4" fillId="5" borderId="2" applyAlignment="1" pivotButton="0" quotePrefix="0" xfId="0">
      <alignment horizontal="left" vertical="center"/>
    </xf>
    <xf numFmtId="1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各品类车型数量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'品类汇总'!$A$3:$A$10</f>
            </numRef>
          </cat>
          <val>
            <numRef>
              <f>'品类汇总'!$B$3:$B$10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款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各品类平均参考价（元）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'品类汇总'!$A$3:$A$10</f>
            </numRef>
          </cat>
          <val>
            <numRef>
              <f>'品类汇总'!$E$3:$E$10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摩托车公开信息汇总 · 按品类统计（共 114 款 · 8 大品类 · 数据截至 2026-09）</t>
        </is>
      </c>
    </row>
    <row r="2" ht="30" customHeight="1">
      <c r="A2" s="2" t="inlineStr">
        <is>
          <t>品类</t>
        </is>
      </c>
      <c r="B2" s="2" t="inlineStr">
        <is>
          <t>车型数量</t>
        </is>
      </c>
      <c r="C2" s="2" t="inlineStr">
        <is>
          <t>最低价(元)</t>
        </is>
      </c>
      <c r="D2" s="2" t="inlineStr">
        <is>
          <t>最高价(元)</t>
        </is>
      </c>
      <c r="E2" s="2" t="inlineStr">
        <is>
          <t>均价(元)</t>
        </is>
      </c>
      <c r="F2" s="2" t="inlineStr">
        <is>
          <t>平均排量(cc)</t>
        </is>
      </c>
      <c r="G2" s="2" t="inlineStr">
        <is>
          <t>平均马力(Ps)</t>
        </is>
      </c>
      <c r="H2" s="2" t="inlineStr">
        <is>
          <t>平均座高(mm)</t>
        </is>
      </c>
    </row>
    <row r="3">
      <c r="A3" s="3" t="inlineStr">
        <is>
          <t>仿赛</t>
        </is>
      </c>
      <c r="B3" s="4">
        <f>COUNTIF('车型总表'!$E$2:$E$115,$A3)</f>
        <v/>
      </c>
      <c r="C3" s="5">
        <f>MINIFS('车型总表'!$G$2:$G$115,'车型总表'!$E$2:$E$115,$A3)</f>
        <v/>
      </c>
      <c r="D3" s="5">
        <f>MAXIFS('车型总表'!$G$2:$G$115,'车型总表'!$E$2:$E$115,$A3)</f>
        <v/>
      </c>
      <c r="E3" s="5">
        <f>ROUND(AVERAGEIF('车型总表'!$E$2:$E$115,$A3,'车型总表'!$G$2:$G$115),0)</f>
        <v/>
      </c>
      <c r="F3" s="4">
        <f>ROUND(AVERAGEIF('车型总表'!$E$2:$E$115,$A3,'车型总表'!$H$2:$H$115),0)</f>
        <v/>
      </c>
      <c r="G3" s="6">
        <f>ROUND(AVERAGEIF('车型总表'!$E$2:$E$115,$A3,'车型总表'!$K$2:$K$115),1)</f>
        <v/>
      </c>
      <c r="H3" s="4">
        <f>ROUND(AVERAGEIF('车型总表'!$E$2:$E$115,$A3,'车型总表'!$N$2:$N$115),0)</f>
        <v/>
      </c>
    </row>
    <row r="4">
      <c r="A4" s="3" t="inlineStr">
        <is>
          <t>街车</t>
        </is>
      </c>
      <c r="B4" s="4">
        <f>COUNTIF('车型总表'!$E$2:$E$115,$A4)</f>
        <v/>
      </c>
      <c r="C4" s="5">
        <f>MINIFS('车型总表'!$G$2:$G$115,'车型总表'!$E$2:$E$115,$A4)</f>
        <v/>
      </c>
      <c r="D4" s="5">
        <f>MAXIFS('车型总表'!$G$2:$G$115,'车型总表'!$E$2:$E$115,$A4)</f>
        <v/>
      </c>
      <c r="E4" s="5">
        <f>ROUND(AVERAGEIF('车型总表'!$E$2:$E$115,$A4,'车型总表'!$G$2:$G$115),0)</f>
        <v/>
      </c>
      <c r="F4" s="4">
        <f>ROUND(AVERAGEIF('车型总表'!$E$2:$E$115,$A4,'车型总表'!$H$2:$H$115),0)</f>
        <v/>
      </c>
      <c r="G4" s="6">
        <f>ROUND(AVERAGEIF('车型总表'!$E$2:$E$115,$A4,'车型总表'!$K$2:$K$115),1)</f>
        <v/>
      </c>
      <c r="H4" s="4">
        <f>ROUND(AVERAGEIF('车型总表'!$E$2:$E$115,$A4,'车型总表'!$N$2:$N$115),0)</f>
        <v/>
      </c>
    </row>
    <row r="5">
      <c r="A5" s="3" t="inlineStr">
        <is>
          <t>巡航</t>
        </is>
      </c>
      <c r="B5" s="4">
        <f>COUNTIF('车型总表'!$E$2:$E$115,$A5)</f>
        <v/>
      </c>
      <c r="C5" s="5">
        <f>MINIFS('车型总表'!$G$2:$G$115,'车型总表'!$E$2:$E$115,$A5)</f>
        <v/>
      </c>
      <c r="D5" s="5">
        <f>MAXIFS('车型总表'!$G$2:$G$115,'车型总表'!$E$2:$E$115,$A5)</f>
        <v/>
      </c>
      <c r="E5" s="5">
        <f>ROUND(AVERAGEIF('车型总表'!$E$2:$E$115,$A5,'车型总表'!$G$2:$G$115),0)</f>
        <v/>
      </c>
      <c r="F5" s="4">
        <f>ROUND(AVERAGEIF('车型总表'!$E$2:$E$115,$A5,'车型总表'!$H$2:$H$115),0)</f>
        <v/>
      </c>
      <c r="G5" s="6">
        <f>ROUND(AVERAGEIF('车型总表'!$E$2:$E$115,$A5,'车型总表'!$K$2:$K$115),1)</f>
        <v/>
      </c>
      <c r="H5" s="4">
        <f>ROUND(AVERAGEIF('车型总表'!$E$2:$E$115,$A5,'车型总表'!$N$2:$N$115),0)</f>
        <v/>
      </c>
    </row>
    <row r="6">
      <c r="A6" s="3" t="inlineStr">
        <is>
          <t>复古</t>
        </is>
      </c>
      <c r="B6" s="4">
        <f>COUNTIF('车型总表'!$E$2:$E$115,$A6)</f>
        <v/>
      </c>
      <c r="C6" s="5">
        <f>MINIFS('车型总表'!$G$2:$G$115,'车型总表'!$E$2:$E$115,$A6)</f>
        <v/>
      </c>
      <c r="D6" s="5">
        <f>MAXIFS('车型总表'!$G$2:$G$115,'车型总表'!$E$2:$E$115,$A6)</f>
        <v/>
      </c>
      <c r="E6" s="5">
        <f>ROUND(AVERAGEIF('车型总表'!$E$2:$E$115,$A6,'车型总表'!$G$2:$G$115),0)</f>
        <v/>
      </c>
      <c r="F6" s="4">
        <f>ROUND(AVERAGEIF('车型总表'!$E$2:$E$115,$A6,'车型总表'!$H$2:$H$115),0)</f>
        <v/>
      </c>
      <c r="G6" s="6">
        <f>ROUND(AVERAGEIF('车型总表'!$E$2:$E$115,$A6,'车型总表'!$K$2:$K$115),1)</f>
        <v/>
      </c>
      <c r="H6" s="4">
        <f>ROUND(AVERAGEIF('车型总表'!$E$2:$E$115,$A6,'车型总表'!$N$2:$N$115),0)</f>
        <v/>
      </c>
    </row>
    <row r="7">
      <c r="A7" s="3" t="inlineStr">
        <is>
          <t>拉力ADV</t>
        </is>
      </c>
      <c r="B7" s="4">
        <f>COUNTIF('车型总表'!$E$2:$E$115,$A7)</f>
        <v/>
      </c>
      <c r="C7" s="5">
        <f>MINIFS('车型总表'!$G$2:$G$115,'车型总表'!$E$2:$E$115,$A7)</f>
        <v/>
      </c>
      <c r="D7" s="5">
        <f>MAXIFS('车型总表'!$G$2:$G$115,'车型总表'!$E$2:$E$115,$A7)</f>
        <v/>
      </c>
      <c r="E7" s="5">
        <f>ROUND(AVERAGEIF('车型总表'!$E$2:$E$115,$A7,'车型总表'!$G$2:$G$115),0)</f>
        <v/>
      </c>
      <c r="F7" s="4">
        <f>ROUND(AVERAGEIF('车型总表'!$E$2:$E$115,$A7,'车型总表'!$H$2:$H$115),0)</f>
        <v/>
      </c>
      <c r="G7" s="6">
        <f>ROUND(AVERAGEIF('车型总表'!$E$2:$E$115,$A7,'车型总表'!$K$2:$K$115),1)</f>
        <v/>
      </c>
      <c r="H7" s="4">
        <f>ROUND(AVERAGEIF('车型总表'!$E$2:$E$115,$A7,'车型总表'!$N$2:$N$115),0)</f>
        <v/>
      </c>
    </row>
    <row r="8">
      <c r="A8" s="3" t="inlineStr">
        <is>
          <t>踏板</t>
        </is>
      </c>
      <c r="B8" s="4">
        <f>COUNTIF('车型总表'!$E$2:$E$115,$A8)</f>
        <v/>
      </c>
      <c r="C8" s="5">
        <f>MINIFS('车型总表'!$G$2:$G$115,'车型总表'!$E$2:$E$115,$A8)</f>
        <v/>
      </c>
      <c r="D8" s="5">
        <f>MAXIFS('车型总表'!$G$2:$G$115,'车型总表'!$E$2:$E$115,$A8)</f>
        <v/>
      </c>
      <c r="E8" s="5">
        <f>ROUND(AVERAGEIF('车型总表'!$E$2:$E$115,$A8,'车型总表'!$G$2:$G$115),0)</f>
        <v/>
      </c>
      <c r="F8" s="4">
        <f>ROUND(AVERAGEIF('车型总表'!$E$2:$E$115,$A8,'车型总表'!$H$2:$H$115),0)</f>
        <v/>
      </c>
      <c r="G8" s="6">
        <f>ROUND(AVERAGEIF('车型总表'!$E$2:$E$115,$A8,'车型总表'!$K$2:$K$115),1)</f>
        <v/>
      </c>
      <c r="H8" s="4">
        <f>ROUND(AVERAGEIF('车型总表'!$E$2:$E$115,$A8,'车型总表'!$N$2:$N$115),0)</f>
        <v/>
      </c>
    </row>
    <row r="9">
      <c r="A9" s="3" t="inlineStr">
        <is>
          <t>越野</t>
        </is>
      </c>
      <c r="B9" s="4">
        <f>COUNTIF('车型总表'!$E$2:$E$115,$A9)</f>
        <v/>
      </c>
      <c r="C9" s="5">
        <f>MINIFS('车型总表'!$G$2:$G$115,'车型总表'!$E$2:$E$115,$A9)</f>
        <v/>
      </c>
      <c r="D9" s="5">
        <f>MAXIFS('车型总表'!$G$2:$G$115,'车型总表'!$E$2:$E$115,$A9)</f>
        <v/>
      </c>
      <c r="E9" s="5">
        <f>ROUND(AVERAGEIF('车型总表'!$E$2:$E$115,$A9,'车型总表'!$G$2:$G$115),0)</f>
        <v/>
      </c>
      <c r="F9" s="4">
        <f>ROUND(AVERAGEIF('车型总表'!$E$2:$E$115,$A9,'车型总表'!$H$2:$H$115),0)</f>
        <v/>
      </c>
      <c r="G9" s="6">
        <f>ROUND(AVERAGEIF('车型总表'!$E$2:$E$115,$A9,'车型总表'!$K$2:$K$115),1)</f>
        <v/>
      </c>
      <c r="H9" s="4">
        <f>ROUND(AVERAGEIF('车型总表'!$E$2:$E$115,$A9,'车型总表'!$N$2:$N$115),0)</f>
        <v/>
      </c>
    </row>
    <row r="10">
      <c r="A10" s="3" t="inlineStr">
        <is>
          <t>电动摩托</t>
        </is>
      </c>
      <c r="B10" s="4">
        <f>COUNTIF('车型总表'!$E$2:$E$115,$A10)</f>
        <v/>
      </c>
      <c r="C10" s="5">
        <f>MINIFS('车型总表'!$G$2:$G$115,'车型总表'!$E$2:$E$115,$A10)</f>
        <v/>
      </c>
      <c r="D10" s="5">
        <f>MAXIFS('车型总表'!$G$2:$G$115,'车型总表'!$E$2:$E$115,$A10)</f>
        <v/>
      </c>
      <c r="E10" s="5">
        <f>ROUND(AVERAGEIF('车型总表'!$E$2:$E$115,$A10,'车型总表'!$G$2:$G$115),0)</f>
        <v/>
      </c>
      <c r="F10" s="4">
        <f>ROUND(AVERAGEIF('车型总表'!$E$2:$E$115,$A10,'车型总表'!$H$2:$H$115),0)</f>
        <v/>
      </c>
      <c r="G10" s="6">
        <f>ROUND(AVERAGEIF('车型总表'!$E$2:$E$115,$A10,'车型总表'!$K$2:$K$115),1)</f>
        <v/>
      </c>
      <c r="H10" s="4">
        <f>ROUND(AVERAGEIF('车型总表'!$E$2:$E$115,$A10,'车型总表'!$N$2:$N$115),0)</f>
        <v/>
      </c>
    </row>
    <row r="11">
      <c r="A11" s="7" t="inlineStr">
        <is>
          <t>全部车型</t>
        </is>
      </c>
      <c r="B11" s="8">
        <f>SUM(B3:B10)</f>
        <v/>
      </c>
      <c r="C11" s="9">
        <f>MIN('车型总表'!$G$2:$G$115)</f>
        <v/>
      </c>
      <c r="D11" s="9">
        <f>MAX('车型总表'!$G$2:$G$115)</f>
        <v/>
      </c>
      <c r="E11" s="9">
        <f>ROUND(AVERAGE('车型总表'!$G$2:$G$115),0)</f>
        <v/>
      </c>
      <c r="F11" s="8">
        <f>ROUND(AVERAGE('车型总表'!$H$2:$H$115),0)</f>
        <v/>
      </c>
      <c r="G11" s="10">
        <f>ROUND(AVERAGE('车型总表'!$K$2:$K$115),1)</f>
        <v/>
      </c>
      <c r="H11" s="8">
        <f>ROUND(AVERAGE('车型总表'!$N$2:$N$115),0)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2" customWidth="1" min="4" max="4"/>
    <col width="10" customWidth="1" min="5" max="5"/>
    <col width="8" customWidth="1" min="6" max="6"/>
    <col width="12" customWidth="1" min="7" max="7"/>
    <col width="10" customWidth="1" min="8" max="8"/>
    <col width="24" customWidth="1" min="9" max="9"/>
    <col width="12" customWidth="1" min="10" max="10"/>
    <col width="12" customWidth="1" min="11" max="11"/>
    <col width="13" customWidth="1" min="12" max="12"/>
    <col width="12" customWidth="1" min="13" max="13"/>
    <col width="10" customWidth="1" min="14" max="14"/>
    <col width="9" customWidth="1" min="15" max="15"/>
    <col width="10" customWidth="1" min="16" max="16"/>
    <col width="12" customWidth="1" min="17" max="17"/>
    <col width="26" customWidth="1" min="18" max="18"/>
    <col width="30" customWidth="1" min="19" max="19"/>
    <col width="46" customWidth="1" min="20" max="20"/>
    <col width="42" customWidth="1" min="21" max="21"/>
    <col width="30" customWidth="1" min="22" max="22"/>
  </cols>
  <sheetData>
    <row r="1" ht="30" customHeight="1">
      <c r="A1" s="2" t="inlineStr">
        <is>
          <t>序号</t>
        </is>
      </c>
      <c r="B1" s="2" t="inlineStr">
        <is>
          <t>品牌</t>
        </is>
      </c>
      <c r="C1" s="2" t="inlineStr">
        <is>
          <t>车型</t>
        </is>
      </c>
      <c r="D1" s="2" t="inlineStr">
        <is>
          <t>英文名</t>
        </is>
      </c>
      <c r="E1" s="2" t="inlineStr">
        <is>
          <t>品类</t>
        </is>
      </c>
      <c r="F1" s="2" t="inlineStr">
        <is>
          <t>产地</t>
        </is>
      </c>
      <c r="G1" s="2" t="inlineStr">
        <is>
          <t>参考价(元)</t>
        </is>
      </c>
      <c r="H1" s="2" t="inlineStr">
        <is>
          <t>排量(cc)</t>
        </is>
      </c>
      <c r="I1" s="2" t="inlineStr">
        <is>
          <t>气缸型式</t>
        </is>
      </c>
      <c r="J1" s="2" t="inlineStr">
        <is>
          <t>最大功率(kW)</t>
        </is>
      </c>
      <c r="K1" s="2" t="inlineStr">
        <is>
          <t>最大马力(Ps)</t>
        </is>
      </c>
      <c r="L1" s="2" t="inlineStr">
        <is>
          <t>最大扭矩(N·m)</t>
        </is>
      </c>
      <c r="M1" s="2" t="inlineStr">
        <is>
          <t>整备质量(kg)</t>
        </is>
      </c>
      <c r="N1" s="2" t="inlineStr">
        <is>
          <t>座高(mm)</t>
        </is>
      </c>
      <c r="O1" s="2" t="inlineStr">
        <is>
          <t>油箱(L)</t>
        </is>
      </c>
      <c r="P1" s="2" t="inlineStr">
        <is>
          <t>马力/吨</t>
        </is>
      </c>
      <c r="Q1" s="2" t="inlineStr">
        <is>
          <t>每cc单价(元)</t>
        </is>
      </c>
      <c r="R1" s="2" t="inlineStr">
        <is>
          <t>适用场景</t>
        </is>
      </c>
      <c r="S1" s="2" t="inlineStr">
        <is>
          <t>标签</t>
        </is>
      </c>
      <c r="T1" s="2" t="inlineStr">
        <is>
          <t>优点</t>
        </is>
      </c>
      <c r="U1" s="2" t="inlineStr">
        <is>
          <t>短板</t>
        </is>
      </c>
      <c r="V1" s="2" t="inlineStr">
        <is>
          <t>适合谁</t>
        </is>
      </c>
    </row>
    <row r="2">
      <c r="A2" s="11" t="n">
        <v>1</v>
      </c>
      <c r="B2" s="12" t="inlineStr">
        <is>
          <t>凯越 KAYO</t>
        </is>
      </c>
      <c r="C2" s="12" t="inlineStr">
        <is>
          <t>凯越 321RR</t>
        </is>
      </c>
      <c r="D2" s="12" t="inlineStr">
        <is>
          <t>KAYO 321RR</t>
        </is>
      </c>
      <c r="E2" s="13" t="inlineStr">
        <is>
          <t>仿赛</t>
        </is>
      </c>
      <c r="F2" s="13" t="inlineStr">
        <is>
          <t>国产</t>
        </is>
      </c>
      <c r="G2" s="5" t="n">
        <v>23980</v>
      </c>
      <c r="H2" s="4" t="n">
        <v>322</v>
      </c>
      <c r="I2" s="12" t="inlineStr">
        <is>
          <t>直列双缸 · 水冷</t>
        </is>
      </c>
      <c r="J2" s="6" t="n">
        <v>30</v>
      </c>
      <c r="K2" s="6" t="n">
        <v>40.8</v>
      </c>
      <c r="L2" s="6" t="n">
        <v>24</v>
      </c>
      <c r="M2" s="4" t="n">
        <v>151</v>
      </c>
      <c r="N2" s="4" t="n">
        <v>780</v>
      </c>
      <c r="O2" s="6" t="n">
        <v>14</v>
      </c>
      <c r="P2" s="14">
        <f>IF(OR(K2="",M2="",M2=0),"",ROUND(K2/(M2/1000),0))</f>
        <v/>
      </c>
      <c r="Q2" s="15">
        <f>IF(OR(G2="",H2="",H2=0),"",ROUND(G2/H2,0))</f>
        <v/>
      </c>
      <c r="R2" s="16" t="inlineStr">
        <is>
          <t>玩乐跑山 · 新手友好</t>
        </is>
      </c>
      <c r="S2" s="16" t="inlineStr">
        <is>
          <t>151kg超轻 · 入门仿赛 · 好上手</t>
        </is>
      </c>
      <c r="T2" s="16" t="inlineStr">
        <is>
          <t>151kg 车重，同级最轻之一，操控极灵活；座高 780mm，身材一般也能双脚着地；价格低，入门门槛友好</t>
        </is>
      </c>
      <c r="U2" s="16" t="inlineStr">
        <is>
          <t>322cc 动力上限有限，进阶后会不够用；高速稳定性一般</t>
        </is>
      </c>
      <c r="V2" s="16" t="inlineStr">
        <is>
          <t>第一台仿赛、预算 2.4 万以内的新手</t>
        </is>
      </c>
    </row>
    <row r="3">
      <c r="A3" s="11" t="n">
        <v>2</v>
      </c>
      <c r="B3" s="12" t="inlineStr">
        <is>
          <t>春风 CFMOTO</t>
        </is>
      </c>
      <c r="C3" s="12" t="inlineStr">
        <is>
          <t>春风 450SR</t>
        </is>
      </c>
      <c r="D3" s="12" t="inlineStr">
        <is>
          <t>CFMOTO 450SR</t>
        </is>
      </c>
      <c r="E3" s="13" t="inlineStr">
        <is>
          <t>仿赛</t>
        </is>
      </c>
      <c r="F3" s="13" t="inlineStr">
        <is>
          <t>国产</t>
        </is>
      </c>
      <c r="G3" s="5" t="n">
        <v>24980</v>
      </c>
      <c r="H3" s="4" t="n">
        <v>450</v>
      </c>
      <c r="I3" s="12" t="inlineStr">
        <is>
          <t>直列双缸 · 水冷 · 270°曲轴</t>
        </is>
      </c>
      <c r="J3" s="6" t="n">
        <v>38</v>
      </c>
      <c r="K3" s="6" t="n">
        <v>51.7</v>
      </c>
      <c r="L3" s="6" t="n">
        <v>40</v>
      </c>
      <c r="M3" s="4" t="n">
        <v>170</v>
      </c>
      <c r="N3" s="4" t="n">
        <v>795</v>
      </c>
      <c r="O3" s="6" t="n">
        <v>14</v>
      </c>
      <c r="P3" s="14">
        <f>IF(OR(K3="",M3="",M3=0),"",ROUND(K3/(M3/1000),0))</f>
        <v/>
      </c>
      <c r="Q3" s="15">
        <f>IF(OR(G3="",H3="",H3=0),"",ROUND(G3/H3,0))</f>
        <v/>
      </c>
      <c r="R3" s="16" t="inlineStr">
        <is>
          <t>通勤代步 · 玩乐跑山 · 新手友好</t>
        </is>
      </c>
      <c r="S3" s="16" t="inlineStr">
        <is>
          <t>销量王 · 新手友好 · 270°曲轴 · 性价比</t>
        </is>
      </c>
      <c r="T3" s="16" t="inlineStr">
        <is>
          <t>轻量化到位，170kg 推起来毫无压力；270° 曲轴声浪接近 V 缸，辨识度高；保有量极大，改件和保养便宜；二手保值率在国产里数一数二</t>
        </is>
      </c>
      <c r="U3" s="16" t="inlineStr">
        <is>
          <t>高转延展一般，万转后劲不如四缸；后座支撑偏弱，载人舒适性差</t>
        </is>
      </c>
      <c r="V3" s="16" t="inlineStr">
        <is>
          <t>第一次买仿赛的人、通勤与周末跑山兼顾的骑手</t>
        </is>
      </c>
    </row>
    <row r="4">
      <c r="A4" s="11" t="n">
        <v>3</v>
      </c>
      <c r="B4" s="12" t="inlineStr">
        <is>
          <t>QJMOTOR 钱江</t>
        </is>
      </c>
      <c r="C4" s="12" t="inlineStr">
        <is>
          <t>钱江 赛550</t>
        </is>
      </c>
      <c r="D4" s="12" t="inlineStr">
        <is>
          <t>QJMOTOR 赛550</t>
        </is>
      </c>
      <c r="E4" s="13" t="inlineStr">
        <is>
          <t>仿赛</t>
        </is>
      </c>
      <c r="F4" s="13" t="inlineStr">
        <is>
          <t>国产</t>
        </is>
      </c>
      <c r="G4" s="5" t="n">
        <v>26999</v>
      </c>
      <c r="H4" s="4" t="n">
        <v>554</v>
      </c>
      <c r="I4" s="12" t="inlineStr">
        <is>
          <t>直列双缸 · 水冷</t>
        </is>
      </c>
      <c r="J4" s="6" t="n">
        <v>41</v>
      </c>
      <c r="K4" s="6" t="n">
        <v>55.8</v>
      </c>
      <c r="L4" s="6" t="n">
        <v>52</v>
      </c>
      <c r="M4" s="4" t="n">
        <v>190</v>
      </c>
      <c r="N4" s="4" t="n">
        <v>795</v>
      </c>
      <c r="O4" s="6" t="n">
        <v>16</v>
      </c>
      <c r="P4" s="14">
        <f>IF(OR(K4="",M4="",M4=0),"",ROUND(K4/(M4/1000),0))</f>
        <v/>
      </c>
      <c r="Q4" s="15">
        <f>IF(OR(G4="",H4="",H4=0),"",ROUND(G4/H4,0))</f>
        <v/>
      </c>
      <c r="R4" s="16" t="inlineStr">
        <is>
          <t>玩乐跑山 · 通勤代步</t>
        </is>
      </c>
      <c r="S4" s="16" t="inlineStr">
        <is>
          <t>中排双缸 · 扭矩足 · 配置高</t>
        </is>
      </c>
      <c r="T4" s="16" t="inlineStr">
        <is>
          <t>554cc 双缸 52N·m，低扭充沛；标配 ABS + TCS，制动规格不低；价格在 550 级别里很有竞争力</t>
        </is>
      </c>
      <c r="U4" s="16" t="inlineStr">
        <is>
          <t>品牌同级车型多，容易挑花眼；车重 190kg，激进骑行偏吃力</t>
        </is>
      </c>
      <c r="V4" s="16" t="inlineStr">
        <is>
          <t>预算 2.7 万左右、看重扭矩与配置的仿赛用户</t>
        </is>
      </c>
    </row>
    <row r="5">
      <c r="A5" s="11" t="n">
        <v>4</v>
      </c>
      <c r="B5" s="12" t="inlineStr">
        <is>
          <t>张雪机车</t>
        </is>
      </c>
      <c r="C5" s="12" t="inlineStr">
        <is>
          <t>张雪 500RR</t>
        </is>
      </c>
      <c r="D5" s="12" t="inlineStr">
        <is>
          <t>Zhangxue 500RR</t>
        </is>
      </c>
      <c r="E5" s="13" t="inlineStr">
        <is>
          <t>仿赛</t>
        </is>
      </c>
      <c r="F5" s="13" t="inlineStr">
        <is>
          <t>国产</t>
        </is>
      </c>
      <c r="G5" s="5" t="n">
        <v>27980</v>
      </c>
      <c r="H5" s="4" t="n">
        <v>470</v>
      </c>
      <c r="I5" s="12" t="inlineStr">
        <is>
          <t>直列四缸 · 水冷</t>
        </is>
      </c>
      <c r="J5" s="6" t="n">
        <v>62</v>
      </c>
      <c r="K5" s="6" t="n">
        <v>84.3</v>
      </c>
      <c r="L5" s="6" t="n">
        <v>46</v>
      </c>
      <c r="M5" s="4" t="n">
        <v>172</v>
      </c>
      <c r="N5" s="4" t="n">
        <v>795</v>
      </c>
      <c r="O5" s="6" t="n">
        <v>15</v>
      </c>
      <c r="P5" s="14">
        <f>IF(OR(K5="",M5="",M5=0),"",ROUND(K5/(M5/1000),0))</f>
        <v/>
      </c>
      <c r="Q5" s="15">
        <f>IF(OR(G5="",H5="",H5=0),"",ROUND(G5/H5,0))</f>
        <v/>
      </c>
      <c r="R5" s="16" t="inlineStr">
        <is>
          <t>玩乐跑山</t>
        </is>
      </c>
      <c r="S5" s="16" t="inlineStr">
        <is>
          <t>四缸黑马 · 84匹 · 3.4秒破百</t>
        </is>
      </c>
      <c r="T5" s="16" t="inlineStr">
        <is>
          <t>同价位马力最强，84.3 匹压迫感十足；弯道 ABS、快排等配置给得很足；团队愿意听玩家意见，迭代很快</t>
        </is>
      </c>
      <c r="U5" s="16" t="inlineStr">
        <is>
          <t>品牌新，全国服务网点偏少；长期可靠性与保值率还需时间验证</t>
        </is>
      </c>
      <c r="V5" s="16" t="inlineStr">
        <is>
          <t>把性能和账面数据放在第一位的玩家</t>
        </is>
      </c>
    </row>
    <row r="6">
      <c r="A6" s="11" t="n">
        <v>5</v>
      </c>
      <c r="B6" s="12" t="inlineStr">
        <is>
          <t>凯越 KAYO</t>
        </is>
      </c>
      <c r="C6" s="12" t="inlineStr">
        <is>
          <t>凯越 450RR</t>
        </is>
      </c>
      <c r="D6" s="12" t="inlineStr">
        <is>
          <t>KAYO 450RR</t>
        </is>
      </c>
      <c r="E6" s="13" t="inlineStr">
        <is>
          <t>仿赛</t>
        </is>
      </c>
      <c r="F6" s="13" t="inlineStr">
        <is>
          <t>国产</t>
        </is>
      </c>
      <c r="G6" s="5" t="n">
        <v>29980</v>
      </c>
      <c r="H6" s="4" t="n">
        <v>443</v>
      </c>
      <c r="I6" s="12" t="inlineStr">
        <is>
          <t>直列四缸 · 水冷</t>
        </is>
      </c>
      <c r="J6" s="6" t="n">
        <v>52</v>
      </c>
      <c r="K6" s="6" t="n">
        <v>70.7</v>
      </c>
      <c r="L6" s="6" t="n">
        <v>39</v>
      </c>
      <c r="M6" s="4" t="n">
        <v>165</v>
      </c>
      <c r="N6" s="4" t="n">
        <v>795</v>
      </c>
      <c r="O6" s="6" t="n">
        <v>15</v>
      </c>
      <c r="P6" s="14">
        <f>IF(OR(K6="",M6="",M6=0),"",ROUND(K6/(M6/1000),0))</f>
        <v/>
      </c>
      <c r="Q6" s="15">
        <f>IF(OR(G6="",H6="",H6=0),"",ROUND(G6/H6,0))</f>
        <v/>
      </c>
      <c r="R6" s="16" t="inlineStr">
        <is>
          <t>玩乐跑山</t>
        </is>
      </c>
      <c r="S6" s="16" t="inlineStr">
        <is>
          <t>国产首款四缸仿赛 · 轻量化 · 高转猛</t>
        </is>
      </c>
      <c r="T6" s="16" t="inlineStr">
        <is>
          <t>165kg 车重，同级最轻之一；万转之后动力爆发非常上头；四缸声浪是这个价位难得的东西</t>
        </is>
      </c>
      <c r="U6" s="16" t="inlineStr">
        <is>
          <t>低扭偏弱，市区代步略显费神；后减震偏硬，载人体验一般；座姿偏战斗，长途不舒服</t>
        </is>
      </c>
      <c r="V6" s="16" t="inlineStr">
        <is>
          <t>追求操控极限与赛道潜力的进阶玩家</t>
        </is>
      </c>
    </row>
    <row r="7">
      <c r="A7" s="11" t="n">
        <v>6</v>
      </c>
      <c r="B7" s="12" t="inlineStr">
        <is>
          <t>无极 VOGE</t>
        </is>
      </c>
      <c r="C7" s="12" t="inlineStr">
        <is>
          <t>无极 525RR</t>
        </is>
      </c>
      <c r="D7" s="12" t="inlineStr">
        <is>
          <t>VOGE 525RR</t>
        </is>
      </c>
      <c r="E7" s="13" t="inlineStr">
        <is>
          <t>仿赛</t>
        </is>
      </c>
      <c r="F7" s="13" t="inlineStr">
        <is>
          <t>国产</t>
        </is>
      </c>
      <c r="G7" s="5" t="n">
        <v>29980</v>
      </c>
      <c r="H7" s="4" t="n">
        <v>494</v>
      </c>
      <c r="I7" s="12" t="inlineStr">
        <is>
          <t>直列双缸 · 水冷</t>
        </is>
      </c>
      <c r="J7" s="6" t="n">
        <v>40</v>
      </c>
      <c r="K7" s="6" t="n">
        <v>54.4</v>
      </c>
      <c r="L7" s="6" t="n">
        <v>44</v>
      </c>
      <c r="M7" s="4" t="n">
        <v>190</v>
      </c>
      <c r="N7" s="4" t="n">
        <v>790</v>
      </c>
      <c r="O7" s="6" t="n">
        <v>16</v>
      </c>
      <c r="P7" s="14">
        <f>IF(OR(K7="",M7="",M7=0),"",ROUND(K7/(M7/1000),0))</f>
        <v/>
      </c>
      <c r="Q7" s="15">
        <f>IF(OR(G7="",H7="",H7=0),"",ROUND(G7/H7,0))</f>
        <v/>
      </c>
      <c r="R7" s="16" t="inlineStr">
        <is>
          <t>玩乐跑山 · 通勤代步</t>
        </is>
      </c>
      <c r="S7" s="16" t="inlineStr">
        <is>
          <t>中排四缸之外的选择 · 动力够用 · 好上手</t>
        </is>
      </c>
      <c r="T7" s="16" t="inlineStr">
        <is>
          <t>494cc 双缸 54 匹，动力平顺好控制；坐姿不如四缸战斗，日常通勤也能骑；配置齐全，价格落在 3 万内</t>
        </is>
      </c>
      <c r="U7" s="16" t="inlineStr">
        <is>
          <t>双缸声浪不如四缸有吸引力；车身偏重 190kg</t>
        </is>
      </c>
      <c r="V7" s="16" t="inlineStr">
        <is>
          <t>想兼顾通勤与周末跑山的中排仿赛用户</t>
        </is>
      </c>
    </row>
    <row r="8">
      <c r="A8" s="11" t="n">
        <v>7</v>
      </c>
      <c r="B8" s="12" t="inlineStr">
        <is>
          <t>QJMOTOR 钱江</t>
        </is>
      </c>
      <c r="C8" s="12" t="inlineStr">
        <is>
          <t>钱江 赛600RS</t>
        </is>
      </c>
      <c r="D8" s="12" t="inlineStr">
        <is>
          <t>QJMOTOR 赛600RS</t>
        </is>
      </c>
      <c r="E8" s="13" t="inlineStr">
        <is>
          <t>仿赛</t>
        </is>
      </c>
      <c r="F8" s="13" t="inlineStr">
        <is>
          <t>国产</t>
        </is>
      </c>
      <c r="G8" s="5" t="n">
        <v>34999</v>
      </c>
      <c r="H8" s="4" t="n">
        <v>680</v>
      </c>
      <c r="I8" s="12" t="inlineStr">
        <is>
          <t>直列四缸 · 水冷</t>
        </is>
      </c>
      <c r="J8" s="6" t="n">
        <v>74.5</v>
      </c>
      <c r="K8" s="6" t="n">
        <v>101</v>
      </c>
      <c r="L8" s="6" t="n">
        <v>68</v>
      </c>
      <c r="M8" s="4" t="n">
        <v>206</v>
      </c>
      <c r="N8" s="4" t="n">
        <v>830</v>
      </c>
      <c r="O8" s="6" t="n">
        <v>18</v>
      </c>
      <c r="P8" s="14">
        <f>IF(OR(K8="",M8="",M8=0),"",ROUND(K8/(M8/1000),0))</f>
        <v/>
      </c>
      <c r="Q8" s="15">
        <f>IF(OR(G8="",H8="",H8=0),"",ROUND(G8/H8,0))</f>
        <v/>
      </c>
      <c r="R8" s="16" t="inlineStr">
        <is>
          <t>玩乐跑山</t>
        </is>
      </c>
      <c r="S8" s="16" t="inlineStr">
        <is>
          <t>四缸常青树 · 百匹 · Brembo</t>
        </is>
      </c>
      <c r="T8" s="16" t="inlineStr">
        <is>
          <t>680cc 四缸 101 匹，动力储备充足；布雷博卡钳 + 马祖奇减震，硬件规格高；车型成熟，配件与改装生态完善</t>
        </is>
      </c>
      <c r="U8" s="16" t="inlineStr">
        <is>
          <t>206kg 车重，挪车需要技巧；油耗高，市区六七个油；座高 830mm，对矮个子不友好</t>
        </is>
      </c>
      <c r="V8" s="16" t="inlineStr">
        <is>
          <t>想要四缸声浪与性能、预算 3 万多的进阶玩家</t>
        </is>
      </c>
    </row>
    <row r="9">
      <c r="A9" s="11" t="n">
        <v>8</v>
      </c>
      <c r="B9" s="12" t="inlineStr">
        <is>
          <t>春风 CFMOTO</t>
        </is>
      </c>
      <c r="C9" s="12" t="inlineStr">
        <is>
          <t>春风 675SR</t>
        </is>
      </c>
      <c r="D9" s="12" t="inlineStr">
        <is>
          <t>CFMOTO 675SR</t>
        </is>
      </c>
      <c r="E9" s="13" t="inlineStr">
        <is>
          <t>仿赛</t>
        </is>
      </c>
      <c r="F9" s="13" t="inlineStr">
        <is>
          <t>国产</t>
        </is>
      </c>
      <c r="G9" s="5" t="n">
        <v>39580</v>
      </c>
      <c r="H9" s="4" t="n">
        <v>674</v>
      </c>
      <c r="I9" s="12" t="inlineStr">
        <is>
          <t>直列三缸 · 水冷</t>
        </is>
      </c>
      <c r="J9" s="6" t="n">
        <v>70</v>
      </c>
      <c r="K9" s="6" t="n">
        <v>95.2</v>
      </c>
      <c r="L9" s="6" t="n">
        <v>70</v>
      </c>
      <c r="M9" s="4" t="n">
        <v>175</v>
      </c>
      <c r="N9" s="4" t="n">
        <v>815</v>
      </c>
      <c r="O9" s="6" t="n">
        <v>15</v>
      </c>
      <c r="P9" s="14">
        <f>IF(OR(K9="",M9="",M9=0),"",ROUND(K9/(M9/1000),0))</f>
        <v/>
      </c>
      <c r="Q9" s="15">
        <f>IF(OR(G9="",H9="",H9=0),"",ROUND(G9/H9,0))</f>
        <v/>
      </c>
      <c r="R9" s="16" t="inlineStr">
        <is>
          <t>玩乐跑山</t>
        </is>
      </c>
      <c r="S9" s="16" t="inlineStr">
        <is>
          <t>国产三缸天花板 · 95匹 · 双向快排</t>
        </is>
      </c>
      <c r="T9" s="16" t="inlineStr">
        <is>
          <t>674cc 三缸 95 匹，国产中排仿赛动力标杆；KYB 全可调减震 + 西互四活塞辐射卡钳，硬件越级；标配双向快排、滑动离合、两段可调 TCS</t>
        </is>
      </c>
      <c r="U9" s="16" t="inlineStr">
        <is>
          <t>座高 815mm 偏高，175kg 干重挪车需注意；三缸保养成本高于双缸</t>
        </is>
      </c>
      <c r="V9" s="16" t="inlineStr">
        <is>
          <t>预算 4 万左右、想要三缸动力与越级配置的进阶玩家</t>
        </is>
      </c>
    </row>
    <row r="10">
      <c r="A10" s="11" t="n">
        <v>9</v>
      </c>
      <c r="B10" s="12" t="inlineStr">
        <is>
          <t>雅马哈 Yamaha</t>
        </is>
      </c>
      <c r="C10" s="12" t="inlineStr">
        <is>
          <t>雅马哈 YZF-R3</t>
        </is>
      </c>
      <c r="D10" s="12" t="inlineStr">
        <is>
          <t>Yamaha YZF-R3</t>
        </is>
      </c>
      <c r="E10" s="13" t="inlineStr">
        <is>
          <t>仿赛</t>
        </is>
      </c>
      <c r="F10" s="13" t="inlineStr">
        <is>
          <t>进口</t>
        </is>
      </c>
      <c r="G10" s="5" t="n">
        <v>46800</v>
      </c>
      <c r="H10" s="4" t="n">
        <v>321</v>
      </c>
      <c r="I10" s="12" t="inlineStr">
        <is>
          <t>直列双缸 · 水冷</t>
        </is>
      </c>
      <c r="J10" s="6" t="n">
        <v>30.4</v>
      </c>
      <c r="K10" s="6" t="n">
        <v>41.3</v>
      </c>
      <c r="L10" s="6" t="n">
        <v>29.6</v>
      </c>
      <c r="M10" s="4" t="n">
        <v>169</v>
      </c>
      <c r="N10" s="4" t="n">
        <v>780</v>
      </c>
      <c r="O10" s="6" t="n">
        <v>14</v>
      </c>
      <c r="P10" s="14">
        <f>IF(OR(K10="",M10="",M10=0),"",ROUND(K10/(M10/1000),0))</f>
        <v/>
      </c>
      <c r="Q10" s="15">
        <f>IF(OR(G10="",H10="",H10=0),"",ROUND(G10/H10,0))</f>
        <v/>
      </c>
      <c r="R10" s="16" t="inlineStr">
        <is>
          <t>通勤代步 · 玩乐跑山 · 新手友好</t>
        </is>
      </c>
      <c r="S10" s="16" t="inlineStr">
        <is>
          <t>入门进口 · 轻巧 · 保值</t>
        </is>
      </c>
      <c r="T10" s="16" t="inlineStr">
        <is>
          <t>169kg 车轻，新手上手压力小；雅马哈品质稳定，二手保值好；座高 780mm，对多数人友好</t>
        </is>
      </c>
      <c r="U10" s="16" t="inlineStr">
        <is>
          <t>321cc 动力偏温和；配置基础，无快排等硬件</t>
        </is>
      </c>
      <c r="V10" s="16" t="inlineStr">
        <is>
          <t>想入门进口仿赛、以通勤和轻玩乐为主的新手</t>
        </is>
      </c>
    </row>
    <row r="11">
      <c r="A11" s="11" t="n">
        <v>10</v>
      </c>
      <c r="B11" s="12" t="inlineStr">
        <is>
          <t>川崎 Kawasaki</t>
        </is>
      </c>
      <c r="C11" s="12" t="inlineStr">
        <is>
          <t>川崎 Ninja 400</t>
        </is>
      </c>
      <c r="D11" s="12" t="inlineStr">
        <is>
          <t>Kawasaki Ninja 400</t>
        </is>
      </c>
      <c r="E11" s="13" t="inlineStr">
        <is>
          <t>仿赛</t>
        </is>
      </c>
      <c r="F11" s="13" t="inlineStr">
        <is>
          <t>进口</t>
        </is>
      </c>
      <c r="G11" s="5" t="n">
        <v>49800</v>
      </c>
      <c r="H11" s="4" t="n">
        <v>399</v>
      </c>
      <c r="I11" s="12" t="inlineStr">
        <is>
          <t>直列双缸 · 水冷</t>
        </is>
      </c>
      <c r="J11" s="6" t="n">
        <v>35</v>
      </c>
      <c r="K11" s="6" t="n">
        <v>47.6</v>
      </c>
      <c r="L11" s="6" t="n">
        <v>38</v>
      </c>
      <c r="M11" s="4" t="n">
        <v>168</v>
      </c>
      <c r="N11" s="4" t="n">
        <v>785</v>
      </c>
      <c r="O11" s="6" t="n">
        <v>14</v>
      </c>
      <c r="P11" s="14">
        <f>IF(OR(K11="",M11="",M11=0),"",ROUND(K11/(M11/1000),0))</f>
        <v/>
      </c>
      <c r="Q11" s="15">
        <f>IF(OR(G11="",H11="",H11=0),"",ROUND(G11/H11,0))</f>
        <v/>
      </c>
      <c r="R11" s="16" t="inlineStr">
        <is>
          <t>通勤代步 · 玩乐跑山 · 新手友好</t>
        </is>
      </c>
      <c r="S11" s="16" t="inlineStr">
        <is>
          <t>进口入门标杆 · 轻巧 · 改装潜力</t>
        </is>
      </c>
      <c r="T11" s="16" t="inlineStr">
        <is>
          <t>168kg 车轻，操控灵活好上手；川崎品质稳，二手保值；改装件丰富，玩车生态好</t>
        </is>
      </c>
      <c r="U11" s="16" t="inlineStr">
        <is>
          <t>399cc 排量偏小，进阶后会不够用；进口身份但配置一般；热门配色常有加价或等车</t>
        </is>
      </c>
      <c r="V11" s="16" t="inlineStr">
        <is>
          <t>想入门进口仿赛、预算 5 万左右的新手</t>
        </is>
      </c>
    </row>
    <row r="12">
      <c r="A12" s="11" t="n">
        <v>11</v>
      </c>
      <c r="B12" s="12" t="inlineStr">
        <is>
          <t>阿普利亚 Aprilia</t>
        </is>
      </c>
      <c r="C12" s="12" t="inlineStr">
        <is>
          <t>阿普利亚 RS 457</t>
        </is>
      </c>
      <c r="D12" s="12" t="inlineStr">
        <is>
          <t>Aprilia RS 457</t>
        </is>
      </c>
      <c r="E12" s="13" t="inlineStr">
        <is>
          <t>仿赛</t>
        </is>
      </c>
      <c r="F12" s="13" t="inlineStr">
        <is>
          <t>进口</t>
        </is>
      </c>
      <c r="G12" s="5" t="n">
        <v>49800</v>
      </c>
      <c r="H12" s="4" t="n">
        <v>457</v>
      </c>
      <c r="I12" s="12" t="inlineStr">
        <is>
          <t>直列双缸 · 水冷</t>
        </is>
      </c>
      <c r="J12" s="6" t="n">
        <v>35</v>
      </c>
      <c r="K12" s="6" t="n">
        <v>47.6</v>
      </c>
      <c r="L12" s="6" t="n">
        <v>43.5</v>
      </c>
      <c r="M12" s="4" t="n">
        <v>175</v>
      </c>
      <c r="N12" s="4" t="n">
        <v>800</v>
      </c>
      <c r="O12" s="6" t="n">
        <v>13</v>
      </c>
      <c r="P12" s="14">
        <f>IF(OR(K12="",M12="",M12=0),"",ROUND(K12/(M12/1000),0))</f>
        <v/>
      </c>
      <c r="Q12" s="15">
        <f>IF(OR(G12="",H12="",H12=0),"",ROUND(G12/H12,0))</f>
        <v/>
      </c>
      <c r="R12" s="16" t="inlineStr">
        <is>
          <t>玩乐跑山 · 通勤代步</t>
        </is>
      </c>
      <c r="S12" s="16" t="inlineStr">
        <is>
          <t>意式仿赛 · 175kg · 赛道基因</t>
        </is>
      </c>
      <c r="T12" s="16" t="inlineStr">
        <is>
          <t>175kg 车重配 47 匹，推重比出色；阿普利亚的赛道调校，弯道表现优秀；外观和做工是同级里的颜值担当</t>
        </is>
      </c>
      <c r="U12" s="16" t="inlineStr">
        <is>
          <t>价格偏高，配置不如国产堆料；售后网点密度不及日系</t>
        </is>
      </c>
      <c r="V12" s="16" t="inlineStr">
        <is>
          <t>看重操控质感与品牌调性的进阶骑手</t>
        </is>
      </c>
    </row>
    <row r="13">
      <c r="A13" s="11" t="n">
        <v>12</v>
      </c>
      <c r="B13" s="12" t="inlineStr">
        <is>
          <t>KTM</t>
        </is>
      </c>
      <c r="C13" s="12" t="inlineStr">
        <is>
          <t>KTM RC 390</t>
        </is>
      </c>
      <c r="D13" s="12" t="inlineStr">
        <is>
          <t>KTM RC 390</t>
        </is>
      </c>
      <c r="E13" s="13" t="inlineStr">
        <is>
          <t>仿赛</t>
        </is>
      </c>
      <c r="F13" s="13" t="inlineStr">
        <is>
          <t>进口</t>
        </is>
      </c>
      <c r="G13" s="5" t="n">
        <v>49800</v>
      </c>
      <c r="H13" s="4" t="n">
        <v>373</v>
      </c>
      <c r="I13" s="12" t="inlineStr">
        <is>
          <t>单缸 · 水冷</t>
        </is>
      </c>
      <c r="J13" s="6" t="n">
        <v>32</v>
      </c>
      <c r="K13" s="6" t="n">
        <v>43.5</v>
      </c>
      <c r="L13" s="6" t="n">
        <v>36</v>
      </c>
      <c r="M13" s="4" t="n">
        <v>172</v>
      </c>
      <c r="N13" s="4" t="n">
        <v>824</v>
      </c>
      <c r="O13" s="6" t="n">
        <v>13.7</v>
      </c>
      <c r="P13" s="14">
        <f>IF(OR(K13="",M13="",M13=0),"",ROUND(K13/(M13/1000),0))</f>
        <v/>
      </c>
      <c r="Q13" s="15">
        <f>IF(OR(G13="",H13="",H13=0),"",ROUND(G13/H13,0))</f>
        <v/>
      </c>
      <c r="R13" s="16" t="inlineStr">
        <is>
          <t>玩乐跑山</t>
        </is>
      </c>
      <c r="S13" s="16" t="inlineStr">
        <is>
          <t>单缸猛兽 · Ready to Race · WP减震</t>
        </is>
      </c>
      <c r="T13" s="16" t="inlineStr">
        <is>
          <t>373cc 单缸压榨出 43.5 匹，动力暴躁；WP 减震 + 轻量化车架，赛道取向明确；电控配置丰富，弯道 ABS 标配</t>
        </is>
      </c>
      <c r="U13" s="16" t="inlineStr">
        <is>
          <t>单缸震动明显，长途不舒适；座高 824mm，坐姿战斗</t>
        </is>
      </c>
      <c r="V13" s="16" t="inlineStr">
        <is>
          <t>喜欢激进风格、以赛道和山路为主的玩家</t>
        </is>
      </c>
    </row>
    <row r="14">
      <c r="A14" s="11" t="n">
        <v>13</v>
      </c>
      <c r="B14" s="12" t="inlineStr">
        <is>
          <t>本田 Honda</t>
        </is>
      </c>
      <c r="C14" s="12" t="inlineStr">
        <is>
          <t>本田 CBR500R</t>
        </is>
      </c>
      <c r="D14" s="12" t="inlineStr">
        <is>
          <t>Honda CBR500R</t>
        </is>
      </c>
      <c r="E14" s="13" t="inlineStr">
        <is>
          <t>仿赛</t>
        </is>
      </c>
      <c r="F14" s="13" t="inlineStr">
        <is>
          <t>进口</t>
        </is>
      </c>
      <c r="G14" s="5" t="n">
        <v>69800</v>
      </c>
      <c r="H14" s="4" t="n">
        <v>471</v>
      </c>
      <c r="I14" s="12" t="inlineStr">
        <is>
          <t>直列双缸 · 水冷</t>
        </is>
      </c>
      <c r="J14" s="6" t="n">
        <v>35</v>
      </c>
      <c r="K14" s="6" t="n">
        <v>47.6</v>
      </c>
      <c r="L14" s="6" t="n">
        <v>43</v>
      </c>
      <c r="M14" s="4" t="n">
        <v>193</v>
      </c>
      <c r="N14" s="4" t="n">
        <v>785</v>
      </c>
      <c r="O14" s="6" t="n">
        <v>17</v>
      </c>
      <c r="P14" s="14">
        <f>IF(OR(K14="",M14="",M14=0),"",ROUND(K14/(M14/1000),0))</f>
        <v/>
      </c>
      <c r="Q14" s="15">
        <f>IF(OR(G14="",H14="",H14=0),"",ROUND(G14/H14,0))</f>
        <v/>
      </c>
      <c r="R14" s="16" t="inlineStr">
        <is>
          <t>通勤代步 · 长途摩旅</t>
        </is>
      </c>
      <c r="S14" s="16" t="inlineStr">
        <is>
          <t>品质稳定 · 保值率高 · 省心</t>
        </is>
      </c>
      <c r="T14" s="16" t="inlineStr">
        <is>
          <t>本田品控，故障率极低；动力输出极其平顺，新手也容易上手；保值率是同级的标杆</t>
        </is>
      </c>
      <c r="U14" s="16" t="inlineStr">
        <is>
          <t>价格偏高，配置相对保守；动力偏平淡，缺乏刺激感；保养和配件费用比国产高</t>
        </is>
      </c>
      <c r="V14" s="16" t="inlineStr">
        <is>
          <t>看重长期省心、能骑五年的稳健派</t>
        </is>
      </c>
    </row>
    <row r="15">
      <c r="A15" s="11" t="n">
        <v>14</v>
      </c>
      <c r="B15" s="12" t="inlineStr">
        <is>
          <t>川崎 Kawasaki</t>
        </is>
      </c>
      <c r="C15" s="12" t="inlineStr">
        <is>
          <t>川崎 Ninja ZX-4R</t>
        </is>
      </c>
      <c r="D15" s="12" t="inlineStr">
        <is>
          <t>Kawasaki Ninja ZX-4R</t>
        </is>
      </c>
      <c r="E15" s="13" t="inlineStr">
        <is>
          <t>仿赛</t>
        </is>
      </c>
      <c r="F15" s="13" t="inlineStr">
        <is>
          <t>进口</t>
        </is>
      </c>
      <c r="G15" s="5" t="n">
        <v>69800</v>
      </c>
      <c r="H15" s="4" t="n">
        <v>401</v>
      </c>
      <c r="I15" s="12" t="inlineStr">
        <is>
          <t>直列四缸 · 水冷</t>
        </is>
      </c>
      <c r="J15" s="6" t="n">
        <v>57</v>
      </c>
      <c r="K15" s="6" t="n">
        <v>77.5</v>
      </c>
      <c r="L15" s="6" t="n">
        <v>39.6</v>
      </c>
      <c r="M15" s="4" t="n">
        <v>189</v>
      </c>
      <c r="N15" s="4" t="n">
        <v>800</v>
      </c>
      <c r="O15" s="6" t="n">
        <v>15</v>
      </c>
      <c r="P15" s="14">
        <f>IF(OR(K15="",M15="",M15=0),"",ROUND(K15/(M15/1000),0))</f>
        <v/>
      </c>
      <c r="Q15" s="15">
        <f>IF(OR(G15="",H15="",H15=0),"",ROUND(G15/H15,0))</f>
        <v/>
      </c>
      <c r="R15" s="16" t="inlineStr">
        <is>
          <t>玩乐跑山</t>
        </is>
      </c>
      <c r="S15" s="16" t="inlineStr">
        <is>
          <t>小排四缸 · 14000转 · Showa减震</t>
        </is>
      </c>
      <c r="T15" s="16" t="inlineStr">
        <is>
          <t>401cc 四缸拉到 14000 转，高转声浪无敌；Showa 前后全可调减震，赛道底子好；进口车中少见的 400 级四缸</t>
        </is>
      </c>
      <c r="U15" s="16" t="inlineStr">
        <is>
          <t>低转扭矩偏弱，市区拥堵路况体验一般；价格接近 7 万，同价位可买国产四缸更大排量</t>
        </is>
      </c>
      <c r="V15" s="16" t="inlineStr">
        <is>
          <t>想要小排量四缸高转乐趣、预算 7 万的玩家</t>
        </is>
      </c>
    </row>
    <row r="16">
      <c r="A16" s="11" t="n">
        <v>15</v>
      </c>
      <c r="B16" s="12" t="inlineStr">
        <is>
          <t>本田 Honda</t>
        </is>
      </c>
      <c r="C16" s="12" t="inlineStr">
        <is>
          <t>本田 CBR650R</t>
        </is>
      </c>
      <c r="D16" s="12" t="inlineStr">
        <is>
          <t>Honda CBR650R</t>
        </is>
      </c>
      <c r="E16" s="13" t="inlineStr">
        <is>
          <t>仿赛</t>
        </is>
      </c>
      <c r="F16" s="13" t="inlineStr">
        <is>
          <t>进口</t>
        </is>
      </c>
      <c r="G16" s="5" t="n">
        <v>89800</v>
      </c>
      <c r="H16" s="4" t="n">
        <v>649</v>
      </c>
      <c r="I16" s="12" t="inlineStr">
        <is>
          <t>直列四缸 · 水冷</t>
        </is>
      </c>
      <c r="J16" s="6" t="n">
        <v>70</v>
      </c>
      <c r="K16" s="6" t="n">
        <v>95.2</v>
      </c>
      <c r="L16" s="6" t="n">
        <v>63</v>
      </c>
      <c r="M16" s="4" t="n">
        <v>208</v>
      </c>
      <c r="N16" s="4" t="n">
        <v>810</v>
      </c>
      <c r="O16" s="6" t="n">
        <v>15</v>
      </c>
      <c r="P16" s="14">
        <f>IF(OR(K16="",M16="",M16=0),"",ROUND(K16/(M16/1000),0))</f>
        <v/>
      </c>
      <c r="Q16" s="15">
        <f>IF(OR(G16="",H16="",H16=0),"",ROUND(G16/H16,0))</f>
        <v/>
      </c>
      <c r="R16" s="16" t="inlineStr">
        <is>
          <t>通勤代步 · 长途摩旅</t>
        </is>
      </c>
      <c r="S16" s="16" t="inlineStr">
        <is>
          <t>中排四缸 · 品质稳 · 通勤友好</t>
        </is>
      </c>
      <c r="T16" s="16" t="inlineStr">
        <is>
          <t>649cc 四缸 95 匹，动力线性好骑；坐姿比纯仿赛舒适，能日常通勤；本田品控与保值率有保障</t>
        </is>
      </c>
      <c r="U16" s="16" t="inlineStr">
        <is>
          <t>208kg 车重，低速略笨；配置相对朴素，电子辅助少</t>
        </is>
      </c>
      <c r="V16" s="16" t="inlineStr">
        <is>
          <t>想要四缸质感又要日常舒适的中高级骑手</t>
        </is>
      </c>
    </row>
    <row r="17">
      <c r="A17" s="11" t="n">
        <v>16</v>
      </c>
      <c r="B17" s="12" t="inlineStr">
        <is>
          <t>杜卡迪 Ducati</t>
        </is>
      </c>
      <c r="C17" s="12" t="inlineStr">
        <is>
          <t>杜卡迪 Panigale V4</t>
        </is>
      </c>
      <c r="D17" s="12" t="inlineStr">
        <is>
          <t>Ducati Panigale V4</t>
        </is>
      </c>
      <c r="E17" s="13" t="inlineStr">
        <is>
          <t>仿赛</t>
        </is>
      </c>
      <c r="F17" s="13" t="inlineStr">
        <is>
          <t>进口</t>
        </is>
      </c>
      <c r="G17" s="5" t="n">
        <v>249000</v>
      </c>
      <c r="H17" s="4" t="n">
        <v>1103</v>
      </c>
      <c r="I17" s="12" t="inlineStr">
        <is>
          <t>V型四缸 · 水冷</t>
        </is>
      </c>
      <c r="J17" s="6" t="n">
        <v>158</v>
      </c>
      <c r="K17" s="6" t="n">
        <v>215</v>
      </c>
      <c r="L17" s="6" t="n">
        <v>120.9</v>
      </c>
      <c r="M17" s="4" t="n">
        <v>195</v>
      </c>
      <c r="N17" s="4" t="n">
        <v>850</v>
      </c>
      <c r="O17" s="6" t="n">
        <v>17</v>
      </c>
      <c r="P17" s="14">
        <f>IF(OR(K17="",M17="",M17=0),"",ROUND(K17/(M17/1000),0))</f>
        <v/>
      </c>
      <c r="Q17" s="15">
        <f>IF(OR(G17="",H17="",H17=0),"",ROUND(G17/H17,0))</f>
        <v/>
      </c>
      <c r="R17" s="16" t="inlineStr">
        <is>
          <t>玩乐跑山</t>
        </is>
      </c>
      <c r="S17" s="16" t="inlineStr">
        <is>
          <t>公升级 · 215匹 · 梦想车</t>
        </is>
      </c>
      <c r="T17" s="16" t="inlineStr">
        <is>
          <t>性能与电控处在量产车顶端；颜值和声浪是同级天花板；赛道能力几乎没有对手</t>
        </is>
      </c>
      <c r="U17" s="16" t="inlineStr">
        <is>
          <t>价格昂贵，落地接近 30 万；保养周期短、费用高；座高 850mm，日常骑行偏累</t>
        </is>
      </c>
      <c r="V17" s="16" t="inlineStr">
        <is>
          <t>预算充足、追求极致性能的高阶玩家</t>
        </is>
      </c>
    </row>
    <row r="18">
      <c r="A18" s="11" t="n">
        <v>17</v>
      </c>
      <c r="B18" s="12" t="inlineStr">
        <is>
          <t>春风 CFMOTO</t>
        </is>
      </c>
      <c r="C18" s="12" t="inlineStr">
        <is>
          <t>春风 250NK</t>
        </is>
      </c>
      <c r="D18" s="12" t="inlineStr">
        <is>
          <t>CFMOTO 250NK</t>
        </is>
      </c>
      <c r="E18" s="13" t="inlineStr">
        <is>
          <t>街车</t>
        </is>
      </c>
      <c r="F18" s="13" t="inlineStr">
        <is>
          <t>国产</t>
        </is>
      </c>
      <c r="G18" s="5" t="n">
        <v>18980</v>
      </c>
      <c r="H18" s="4" t="n">
        <v>250</v>
      </c>
      <c r="I18" s="12" t="inlineStr">
        <is>
          <t>单缸 · 水冷 · 270°曲轴</t>
        </is>
      </c>
      <c r="J18" s="6" t="n">
        <v>20.5</v>
      </c>
      <c r="K18" s="6" t="n">
        <v>27.9</v>
      </c>
      <c r="L18" s="6" t="n">
        <v>22</v>
      </c>
      <c r="M18" s="4" t="n">
        <v>151</v>
      </c>
      <c r="N18" s="4" t="n">
        <v>795</v>
      </c>
      <c r="O18" s="6" t="n">
        <v>12.5</v>
      </c>
      <c r="P18" s="14">
        <f>IF(OR(K18="",M18="",M18=0),"",ROUND(K18/(M18/1000),0))</f>
        <v/>
      </c>
      <c r="Q18" s="15">
        <f>IF(OR(G18="",H18="",H18=0),"",ROUND(G18/H18,0))</f>
        <v/>
      </c>
      <c r="R18" s="16" t="inlineStr">
        <is>
          <t>通勤代步 · 新手友好 · 玩乐跑山</t>
        </is>
      </c>
      <c r="S18" s="16" t="inlineStr">
        <is>
          <t>入门神车 · 轻巧 · 价格低</t>
        </is>
      </c>
      <c r="T18" s="16" t="inlineStr">
        <is>
          <t>不到 2 万，练手摔了不心疼；151kg 车身，掉头挪车轻松；270° 曲轴单缸，声音比一般单缸好听</t>
        </is>
      </c>
      <c r="U18" s="16" t="inlineStr">
        <is>
          <t>单缸震动明显，跑高速手麻；配置基础，没有 TFT 和快排</t>
        </is>
      </c>
      <c r="V18" s="16" t="inlineStr">
        <is>
          <t>纯新手第一台车、预算 2 万以内的通勤党</t>
        </is>
      </c>
    </row>
    <row r="19">
      <c r="A19" s="11" t="n">
        <v>18</v>
      </c>
      <c r="B19" s="12" t="inlineStr">
        <is>
          <t>QJMOTOR 钱江</t>
        </is>
      </c>
      <c r="C19" s="12" t="inlineStr">
        <is>
          <t>钱江 追550</t>
        </is>
      </c>
      <c r="D19" s="12" t="inlineStr">
        <is>
          <t>QJMOTOR 追550</t>
        </is>
      </c>
      <c r="E19" s="13" t="inlineStr">
        <is>
          <t>街车</t>
        </is>
      </c>
      <c r="F19" s="13" t="inlineStr">
        <is>
          <t>国产</t>
        </is>
      </c>
      <c r="G19" s="5" t="n">
        <v>24699</v>
      </c>
      <c r="H19" s="4" t="n">
        <v>554</v>
      </c>
      <c r="I19" s="12" t="inlineStr">
        <is>
          <t>直列双缸 · 水冷</t>
        </is>
      </c>
      <c r="J19" s="6" t="n">
        <v>41</v>
      </c>
      <c r="K19" s="6" t="n">
        <v>55.8</v>
      </c>
      <c r="L19" s="6" t="n">
        <v>52</v>
      </c>
      <c r="M19" s="4" t="n">
        <v>190</v>
      </c>
      <c r="N19" s="4" t="n">
        <v>795</v>
      </c>
      <c r="O19" s="6" t="n">
        <v>16</v>
      </c>
      <c r="P19" s="14">
        <f>IF(OR(K19="",M19="",M19=0),"",ROUND(K19/(M19/1000),0))</f>
        <v/>
      </c>
      <c r="Q19" s="15">
        <f>IF(OR(G19="",H19="",H19=0),"",ROUND(G19/H19,0))</f>
        <v/>
      </c>
      <c r="R19" s="16" t="inlineStr">
        <is>
          <t>通勤代步 · 玩乐跑山</t>
        </is>
      </c>
      <c r="S19" s="16" t="inlineStr">
        <is>
          <t>3万内配置王 · 布雷博 · 马祖奇</t>
        </is>
      </c>
      <c r="T19" s="16" t="inlineStr">
        <is>
          <t>前双碟 + 鲍鱼径向四活塞卡钳，制动规格高；马祖奇倒立前减震，悬挂有诚意；550 级动力，价格压到 2.5 万内</t>
        </is>
      </c>
      <c r="U19" s="16" t="inlineStr">
        <is>
          <t>190kg 车重，低速挪车费劲；油耗偏高</t>
        </is>
      </c>
      <c r="V19" s="16" t="inlineStr">
        <is>
          <t>预算 2.5 万、想要高配置中排街车的骑手</t>
        </is>
      </c>
    </row>
    <row r="20">
      <c r="A20" s="11" t="n">
        <v>19</v>
      </c>
      <c r="B20" s="12" t="inlineStr">
        <is>
          <t>春风 CFMOTO</t>
        </is>
      </c>
      <c r="C20" s="12" t="inlineStr">
        <is>
          <t>春风 450NK</t>
        </is>
      </c>
      <c r="D20" s="12" t="inlineStr">
        <is>
          <t>CFMOTO 450NK</t>
        </is>
      </c>
      <c r="E20" s="13" t="inlineStr">
        <is>
          <t>街车</t>
        </is>
      </c>
      <c r="F20" s="13" t="inlineStr">
        <is>
          <t>国产</t>
        </is>
      </c>
      <c r="G20" s="5" t="n">
        <v>24880</v>
      </c>
      <c r="H20" s="4" t="n">
        <v>449</v>
      </c>
      <c r="I20" s="12" t="inlineStr">
        <is>
          <t>直列双缸 · 水冷 · 270°曲轴</t>
        </is>
      </c>
      <c r="J20" s="6" t="n">
        <v>37</v>
      </c>
      <c r="K20" s="6" t="n">
        <v>50.3</v>
      </c>
      <c r="L20" s="6" t="n">
        <v>39</v>
      </c>
      <c r="M20" s="4" t="n">
        <v>165</v>
      </c>
      <c r="N20" s="4" t="n">
        <v>795</v>
      </c>
      <c r="O20" s="6" t="n">
        <v>15</v>
      </c>
      <c r="P20" s="14">
        <f>IF(OR(K20="",M20="",M20=0),"",ROUND(K20/(M20/1000),0))</f>
        <v/>
      </c>
      <c r="Q20" s="15">
        <f>IF(OR(G20="",H20="",H20=0),"",ROUND(G20/H20,0))</f>
        <v/>
      </c>
      <c r="R20" s="16" t="inlineStr">
        <is>
          <t>通勤代步 · 玩乐跑山 · 新手友好</t>
        </is>
      </c>
      <c r="S20" s="16" t="inlineStr">
        <is>
          <t>中排街车卷王 · 165kg · 性价比高</t>
        </is>
      </c>
      <c r="T20" s="16" t="inlineStr">
        <is>
          <t>449cc 双缸 50 匹，动力堪比 500 级；165kg 车身，城市钻缝与山路都轻松；5 寸曲面 TFT、TCS、ABS 配置齐全</t>
        </is>
      </c>
      <c r="U20" s="16" t="inlineStr">
        <is>
          <t>高速巡航风阻保护一般；后座偏窄，载人不舒适</t>
        </is>
      </c>
      <c r="V20" s="16" t="inlineStr">
        <is>
          <t>预算 2.5 万左右、通勤玩乐兼顾的中排新手</t>
        </is>
      </c>
    </row>
    <row r="21">
      <c r="A21" s="11" t="n">
        <v>20</v>
      </c>
      <c r="B21" s="12" t="inlineStr">
        <is>
          <t>无极 VOGE</t>
        </is>
      </c>
      <c r="C21" s="12" t="inlineStr">
        <is>
          <t>无极 525R</t>
        </is>
      </c>
      <c r="D21" s="12" t="inlineStr">
        <is>
          <t>VOGE 525R</t>
        </is>
      </c>
      <c r="E21" s="13" t="inlineStr">
        <is>
          <t>街车</t>
        </is>
      </c>
      <c r="F21" s="13" t="inlineStr">
        <is>
          <t>国产</t>
        </is>
      </c>
      <c r="G21" s="5" t="n">
        <v>31800</v>
      </c>
      <c r="H21" s="4" t="n">
        <v>494</v>
      </c>
      <c r="I21" s="12" t="inlineStr">
        <is>
          <t>直列双缸 · 水冷</t>
        </is>
      </c>
      <c r="J21" s="6" t="n">
        <v>36.5</v>
      </c>
      <c r="K21" s="6" t="n">
        <v>49.6</v>
      </c>
      <c r="L21" s="6" t="n">
        <v>45</v>
      </c>
      <c r="M21" s="4" t="n">
        <v>190</v>
      </c>
      <c r="N21" s="4" t="n">
        <v>780</v>
      </c>
      <c r="O21" s="6" t="n">
        <v>17</v>
      </c>
      <c r="P21" s="14">
        <f>IF(OR(K21="",M21="",M21=0),"",ROUND(K21/(M21/1000),0))</f>
        <v/>
      </c>
      <c r="Q21" s="15">
        <f>IF(OR(G21="",H21="",H21=0),"",ROUND(G21/H21,0))</f>
        <v/>
      </c>
      <c r="R21" s="16" t="inlineStr">
        <is>
          <t>通勤代步 · 长途摩旅 · 新手友好</t>
        </is>
      </c>
      <c r="S21" s="16" t="inlineStr">
        <is>
          <t>宝马同源发动机 · 好上手 · 配置全</t>
        </is>
      </c>
      <c r="T21" s="16" t="inlineStr">
        <is>
          <t>发动机与宝马同源技术，平顺耐用；780mm 座高友好，坐姿舒适；滑动离合 + 博世 ABS，对新手很宽容</t>
        </is>
      </c>
      <c r="U21" s="16" t="inlineStr">
        <is>
          <t>外观设计偏保守，缺乏话题性；二手保值率一般</t>
        </is>
      </c>
      <c r="V21" s="16" t="inlineStr">
        <is>
          <t>通勤为主、偶尔长途，看重省心的中排新选择</t>
        </is>
      </c>
    </row>
    <row r="22">
      <c r="A22" s="11" t="n">
        <v>21</v>
      </c>
      <c r="B22" s="12" t="inlineStr">
        <is>
          <t>QJMOTOR 钱江</t>
        </is>
      </c>
      <c r="C22" s="12" t="inlineStr">
        <is>
          <t>钱江 追600</t>
        </is>
      </c>
      <c r="D22" s="12" t="inlineStr">
        <is>
          <t>QJMOTOR 追600</t>
        </is>
      </c>
      <c r="E22" s="13" t="inlineStr">
        <is>
          <t>街车</t>
        </is>
      </c>
      <c r="F22" s="13" t="inlineStr">
        <is>
          <t>国产</t>
        </is>
      </c>
      <c r="G22" s="5" t="n">
        <v>36999</v>
      </c>
      <c r="H22" s="4" t="n">
        <v>680</v>
      </c>
      <c r="I22" s="12" t="inlineStr">
        <is>
          <t>直列四缸 · 水冷</t>
        </is>
      </c>
      <c r="J22" s="6" t="n">
        <v>74.5</v>
      </c>
      <c r="K22" s="6" t="n">
        <v>101</v>
      </c>
      <c r="L22" s="6" t="n">
        <v>68</v>
      </c>
      <c r="M22" s="4" t="n">
        <v>200</v>
      </c>
      <c r="N22" s="4" t="n">
        <v>800</v>
      </c>
      <c r="O22" s="6" t="n">
        <v>17</v>
      </c>
      <c r="P22" s="14">
        <f>IF(OR(K22="",M22="",M22=0),"",ROUND(K22/(M22/1000),0))</f>
        <v/>
      </c>
      <c r="Q22" s="15">
        <f>IF(OR(G22="",H22="",H22=0),"",ROUND(G22/H22,0))</f>
        <v/>
      </c>
      <c r="R22" s="16" t="inlineStr">
        <is>
          <t>通勤代步 · 玩乐跑山</t>
        </is>
      </c>
      <c r="S22" s="16" t="inlineStr">
        <is>
          <t>四缸街车天花板 · 马祖奇+Brembo</t>
        </is>
      </c>
      <c r="T22" s="16" t="inlineStr">
        <is>
          <t>680cc 四缸，街车里的动力猛兽；标配马祖奇减震与布雷博卡钳；TFT 投屏、胎压监测等配置齐全</t>
        </is>
      </c>
      <c r="U22" s="16" t="inlineStr">
        <is>
          <t>车重约 200kg，低速略笨；油耗高，通勤成本不低</t>
        </is>
      </c>
      <c r="V22" s="16" t="inlineStr">
        <is>
          <t>喜欢四缸声浪、想要街车坐姿的性能玩家</t>
        </is>
      </c>
    </row>
    <row r="23">
      <c r="A23" s="11" t="n">
        <v>22</v>
      </c>
      <c r="B23" s="12" t="inlineStr">
        <is>
          <t>本田 Honda</t>
        </is>
      </c>
      <c r="C23" s="12" t="inlineStr">
        <is>
          <t>本田 CB400F</t>
        </is>
      </c>
      <c r="D23" s="12" t="inlineStr">
        <is>
          <t>Honda CB400F</t>
        </is>
      </c>
      <c r="E23" s="13" t="inlineStr">
        <is>
          <t>街车</t>
        </is>
      </c>
      <c r="F23" s="13" t="inlineStr">
        <is>
          <t>合资</t>
        </is>
      </c>
      <c r="G23" s="5" t="n">
        <v>39800</v>
      </c>
      <c r="H23" s="4" t="n">
        <v>399</v>
      </c>
      <c r="I23" s="12" t="inlineStr">
        <is>
          <t>直列双缸 · 水冷</t>
        </is>
      </c>
      <c r="J23" s="6" t="n">
        <v>33</v>
      </c>
      <c r="K23" s="6" t="n">
        <v>44.9</v>
      </c>
      <c r="L23" s="6" t="n">
        <v>37</v>
      </c>
      <c r="M23" s="4" t="n">
        <v>194</v>
      </c>
      <c r="N23" s="4" t="n">
        <v>790</v>
      </c>
      <c r="O23" s="6" t="n">
        <v>17</v>
      </c>
      <c r="P23" s="14">
        <f>IF(OR(K23="",M23="",M23=0),"",ROUND(K23/(M23/1000),0))</f>
        <v/>
      </c>
      <c r="Q23" s="15">
        <f>IF(OR(G23="",H23="",H23=0),"",ROUND(G23/H23,0))</f>
        <v/>
      </c>
      <c r="R23" s="16" t="inlineStr">
        <is>
          <t>通勤代步 · 长途摩旅 · 新手友好</t>
        </is>
      </c>
      <c r="S23" s="16" t="inlineStr">
        <is>
          <t>街车之王 · 十年质保 · 省心</t>
        </is>
      </c>
      <c r="T23" s="16" t="inlineStr">
        <is>
          <t>全球销量巨大的成熟车型，极其耐用；保养便宜，配件好找；二手保值率在合资里名列前茅</t>
        </is>
      </c>
      <c r="U23" s="16" t="inlineStr">
        <is>
          <t>动力平淡，缺少驾驶激情；外观中庸，配置朴素</t>
        </is>
      </c>
      <c r="V23" s="16" t="inlineStr">
        <is>
          <t>以通勤代步为主、看重省心耐用的人</t>
        </is>
      </c>
    </row>
    <row r="24">
      <c r="A24" s="11" t="n">
        <v>23</v>
      </c>
      <c r="B24" s="12" t="inlineStr">
        <is>
          <t>无极 VOGE</t>
        </is>
      </c>
      <c r="C24" s="12" t="inlineStr">
        <is>
          <t>无极 625R</t>
        </is>
      </c>
      <c r="D24" s="12" t="inlineStr">
        <is>
          <t>VOGE 625R</t>
        </is>
      </c>
      <c r="E24" s="13" t="inlineStr">
        <is>
          <t>街车</t>
        </is>
      </c>
      <c r="F24" s="13" t="inlineStr">
        <is>
          <t>国产</t>
        </is>
      </c>
      <c r="G24" s="5" t="n">
        <v>39800</v>
      </c>
      <c r="H24" s="4" t="n">
        <v>581</v>
      </c>
      <c r="I24" s="12" t="inlineStr">
        <is>
          <t>直列双缸 · 水冷 · 270°曲轴</t>
        </is>
      </c>
      <c r="J24" s="6" t="n">
        <v>47</v>
      </c>
      <c r="K24" s="6" t="n">
        <v>63.9</v>
      </c>
      <c r="L24" s="6" t="n">
        <v>57</v>
      </c>
      <c r="M24" s="4" t="n">
        <v>196</v>
      </c>
      <c r="N24" s="4" t="n">
        <v>800</v>
      </c>
      <c r="O24" s="6" t="n">
        <v>17</v>
      </c>
      <c r="P24" s="14">
        <f>IF(OR(K24="",M24="",M24=0),"",ROUND(K24/(M24/1000),0))</f>
        <v/>
      </c>
      <c r="Q24" s="15">
        <f>IF(OR(G24="",H24="",H24=0),"",ROUND(G24/H24,0))</f>
        <v/>
      </c>
      <c r="R24" s="16" t="inlineStr">
        <is>
          <t>通勤代步 · 玩乐跑山</t>
        </is>
      </c>
      <c r="S24" s="16" t="inlineStr">
        <is>
          <t>宝马同源平台 · 270°曲轴 · 中排街车</t>
        </is>
      </c>
      <c r="T24" s="16" t="inlineStr">
        <is>
          <t>581cc 双缸 64 匹，270° 曲轴低扭好；无极品控与售后网点覆盖广；配置齐全，价格比进口同级低一半</t>
        </is>
      </c>
      <c r="U24" s="16" t="inlineStr">
        <is>
          <t>外观设计偏保守；车重 196kg</t>
        </is>
      </c>
      <c r="V24" s="16" t="inlineStr">
        <is>
          <t>看重平台技术与售后保障的中排街车买家</t>
        </is>
      </c>
    </row>
    <row r="25">
      <c r="A25" s="11" t="n">
        <v>24</v>
      </c>
      <c r="B25" s="12" t="inlineStr">
        <is>
          <t>升仕 ZONTES</t>
        </is>
      </c>
      <c r="C25" s="12" t="inlineStr">
        <is>
          <t>升仕 703R</t>
        </is>
      </c>
      <c r="D25" s="12" t="inlineStr">
        <is>
          <t>ZONTES 703R</t>
        </is>
      </c>
      <c r="E25" s="13" t="inlineStr">
        <is>
          <t>街车</t>
        </is>
      </c>
      <c r="F25" s="13" t="inlineStr">
        <is>
          <t>国产</t>
        </is>
      </c>
      <c r="G25" s="5" t="n">
        <v>43800</v>
      </c>
      <c r="H25" s="4" t="n">
        <v>699</v>
      </c>
      <c r="I25" s="12" t="inlineStr">
        <is>
          <t>直列三缸 · 水冷</t>
        </is>
      </c>
      <c r="J25" s="6" t="n">
        <v>71.5</v>
      </c>
      <c r="K25" s="6" t="n">
        <v>97.2</v>
      </c>
      <c r="L25" s="6" t="n">
        <v>76</v>
      </c>
      <c r="M25" s="4" t="n">
        <v>205</v>
      </c>
      <c r="N25" s="4" t="n">
        <v>810</v>
      </c>
      <c r="O25" s="6" t="n">
        <v>17</v>
      </c>
      <c r="P25" s="14">
        <f>IF(OR(K25="",M25="",M25=0),"",ROUND(K25/(M25/1000),0))</f>
        <v/>
      </c>
      <c r="Q25" s="15">
        <f>IF(OR(G25="",H25="",H25=0),"",ROUND(G25/H25,0))</f>
        <v/>
      </c>
      <c r="R25" s="16" t="inlineStr">
        <is>
          <t>通勤代步 · 玩乐跑山</t>
        </is>
      </c>
      <c r="S25" s="16" t="inlineStr">
        <is>
          <t>国产三缸街车 · 97匹 · 电控全</t>
        </is>
      </c>
      <c r="T25" s="16" t="inlineStr">
        <is>
          <t>699cc 三缸 97 匹，动力在同价位很猛；电子油门 + 全套电控，配置拉满；城市通勤与山路压弯都灵活</t>
        </is>
      </c>
      <c r="U25" s="16" t="inlineStr">
        <is>
          <t>品牌售后网点相对少；三缸后期保养成本偏高</t>
        </is>
      </c>
      <c r="V25" s="16" t="inlineStr">
        <is>
          <t>想要三缸动力与丰富电控的国产街车玩家</t>
        </is>
      </c>
    </row>
    <row r="26">
      <c r="A26" s="11" t="n">
        <v>25</v>
      </c>
      <c r="B26" s="12" t="inlineStr">
        <is>
          <t>春风 CFMOTO</t>
        </is>
      </c>
      <c r="C26" s="12" t="inlineStr">
        <is>
          <t>春风 800NK</t>
        </is>
      </c>
      <c r="D26" s="12" t="inlineStr">
        <is>
          <t>CFMOTO 800NK</t>
        </is>
      </c>
      <c r="E26" s="13" t="inlineStr">
        <is>
          <t>街车</t>
        </is>
      </c>
      <c r="F26" s="13" t="inlineStr">
        <is>
          <t>国产</t>
        </is>
      </c>
      <c r="G26" s="5" t="n">
        <v>45800</v>
      </c>
      <c r="H26" s="4" t="n">
        <v>799</v>
      </c>
      <c r="I26" s="12" t="inlineStr">
        <is>
          <t>直列双缸 · 水冷</t>
        </is>
      </c>
      <c r="J26" s="6" t="n">
        <v>74</v>
      </c>
      <c r="K26" s="6" t="n">
        <v>100</v>
      </c>
      <c r="L26" s="6" t="n">
        <v>78</v>
      </c>
      <c r="M26" s="4" t="n">
        <v>186</v>
      </c>
      <c r="N26" s="4" t="n">
        <v>795</v>
      </c>
      <c r="O26" s="6" t="n">
        <v>15</v>
      </c>
      <c r="P26" s="14">
        <f>IF(OR(K26="",M26="",M26=0),"",ROUND(K26/(M26/1000),0))</f>
        <v/>
      </c>
      <c r="Q26" s="15">
        <f>IF(OR(G26="",H26="",H26=0),"",ROUND(G26/H26,0))</f>
        <v/>
      </c>
      <c r="R26" s="16" t="inlineStr">
        <is>
          <t>玩乐跑山 · 通勤代步</t>
        </is>
      </c>
      <c r="S26" s="16" t="inlineStr">
        <is>
          <t>百匹街车 · KTM同源 · 性价比</t>
        </is>
      </c>
      <c r="T26" s="16" t="inlineStr">
        <is>
          <t>799cc 双缸 100 匹，动力相当暴力；与 KTM 同平台开发，车架和调校有底子；186kg 配 100 匹，推重比出色</t>
        </is>
      </c>
      <c r="U26" s="16" t="inlineStr">
        <is>
          <t>油耗偏高，暴力驾驶七八个油；大排量需要一定骑行经验；电子系统偶有车主反馈小问题</t>
        </is>
      </c>
      <c r="V26" s="16" t="inlineStr">
        <is>
          <t>想要的排量和动力、预算 4–5 万的进阶玩家</t>
        </is>
      </c>
    </row>
    <row r="27">
      <c r="A27" s="11" t="n">
        <v>26</v>
      </c>
      <c r="B27" s="12" t="inlineStr">
        <is>
          <t>雅马哈 Yamaha</t>
        </is>
      </c>
      <c r="C27" s="12" t="inlineStr">
        <is>
          <t>雅马哈 MT-03</t>
        </is>
      </c>
      <c r="D27" s="12" t="inlineStr">
        <is>
          <t>Yamaha MT-03</t>
        </is>
      </c>
      <c r="E27" s="13" t="inlineStr">
        <is>
          <t>街车</t>
        </is>
      </c>
      <c r="F27" s="13" t="inlineStr">
        <is>
          <t>进口</t>
        </is>
      </c>
      <c r="G27" s="5" t="n">
        <v>46800</v>
      </c>
      <c r="H27" s="4" t="n">
        <v>321</v>
      </c>
      <c r="I27" s="12" t="inlineStr">
        <is>
          <t>直列双缸 · 水冷</t>
        </is>
      </c>
      <c r="J27" s="6" t="n">
        <v>30.4</v>
      </c>
      <c r="K27" s="6" t="n">
        <v>41.3</v>
      </c>
      <c r="L27" s="6" t="n">
        <v>29.6</v>
      </c>
      <c r="M27" s="4" t="n">
        <v>169</v>
      </c>
      <c r="N27" s="4" t="n">
        <v>780</v>
      </c>
      <c r="O27" s="6" t="n">
        <v>14</v>
      </c>
      <c r="P27" s="14">
        <f>IF(OR(K27="",M27="",M27=0),"",ROUND(K27/(M27/1000),0))</f>
        <v/>
      </c>
      <c r="Q27" s="15">
        <f>IF(OR(G27="",H27="",H27=0),"",ROUND(G27/H27,0))</f>
        <v/>
      </c>
      <c r="R27" s="16" t="inlineStr">
        <is>
          <t>通勤代步 · 新手友好</t>
        </is>
      </c>
      <c r="S27" s="16" t="inlineStr">
        <is>
          <t>入门进口街车 · 轻巧 · 保值</t>
        </is>
      </c>
      <c r="T27" s="16" t="inlineStr">
        <is>
          <t>169kg 车轻，新手掌控轻松；座高 780mm，多数人双脚着地；雅马哈品质与保值率好</t>
        </is>
      </c>
      <c r="U27" s="16" t="inlineStr">
        <is>
          <t>321cc 动力偏温和，进阶后不够用；配置基础</t>
        </is>
      </c>
      <c r="V27" s="16" t="inlineStr">
        <is>
          <t>入门进口街车的新手与通勤为主的城市骑手</t>
        </is>
      </c>
    </row>
    <row r="28">
      <c r="A28" s="11" t="n">
        <v>27</v>
      </c>
      <c r="B28" s="12" t="inlineStr">
        <is>
          <t>KTM</t>
        </is>
      </c>
      <c r="C28" s="12" t="inlineStr">
        <is>
          <t>KTM 790 Duke</t>
        </is>
      </c>
      <c r="D28" s="12" t="inlineStr">
        <is>
          <t>KTM 790 Duke</t>
        </is>
      </c>
      <c r="E28" s="13" t="inlineStr">
        <is>
          <t>街车</t>
        </is>
      </c>
      <c r="F28" s="13" t="inlineStr">
        <is>
          <t>进口</t>
        </is>
      </c>
      <c r="G28" s="5" t="n">
        <v>69800</v>
      </c>
      <c r="H28" s="4" t="n">
        <v>799</v>
      </c>
      <c r="I28" s="12" t="inlineStr">
        <is>
          <t>直列双缸 · 水冷</t>
        </is>
      </c>
      <c r="J28" s="6" t="n">
        <v>77</v>
      </c>
      <c r="K28" s="6" t="n">
        <v>104.7</v>
      </c>
      <c r="L28" s="6" t="n">
        <v>87</v>
      </c>
      <c r="M28" s="4" t="n">
        <v>187</v>
      </c>
      <c r="N28" s="4" t="n">
        <v>825</v>
      </c>
      <c r="O28" s="6" t="n">
        <v>14</v>
      </c>
      <c r="P28" s="14">
        <f>IF(OR(K28="",M28="",M28=0),"",ROUND(K28/(M28/1000),0))</f>
        <v/>
      </c>
      <c r="Q28" s="15">
        <f>IF(OR(G28="",H28="",H28=0),"",ROUND(G28/H28,0))</f>
        <v/>
      </c>
      <c r="R28" s="16" t="inlineStr">
        <is>
          <t>玩乐跑山 · 通勤代步</t>
        </is>
      </c>
      <c r="S28" s="16" t="inlineStr">
        <is>
          <t>104匹 · 187kg · 弯道ABS</t>
        </is>
      </c>
      <c r="T28" s="16" t="inlineStr">
        <is>
          <t>799cc 双缸 104.7 匹，动力在这个价位很凶；187kg 车重，操控像小排量一样灵活；WP 减震 + 弯道 ABS，电控丰富</t>
        </is>
      </c>
      <c r="U28" s="16" t="inlineStr">
        <is>
          <t>座高 825mm，低速信心要求高；单缸质感、震动比日系更明显</t>
        </is>
      </c>
      <c r="V28" s="16" t="inlineStr">
        <is>
          <t>有经验、追求操控与动力的进阶街车玩家</t>
        </is>
      </c>
    </row>
    <row r="29">
      <c r="A29" s="11" t="n">
        <v>28</v>
      </c>
      <c r="B29" s="12" t="inlineStr">
        <is>
          <t>川崎 Kawasaki</t>
        </is>
      </c>
      <c r="C29" s="12" t="inlineStr">
        <is>
          <t>川崎 Z650</t>
        </is>
      </c>
      <c r="D29" s="12" t="inlineStr">
        <is>
          <t>Kawasaki Z650</t>
        </is>
      </c>
      <c r="E29" s="13" t="inlineStr">
        <is>
          <t>街车</t>
        </is>
      </c>
      <c r="F29" s="13" t="inlineStr">
        <is>
          <t>进口</t>
        </is>
      </c>
      <c r="G29" s="5" t="n">
        <v>70800</v>
      </c>
      <c r="H29" s="4" t="n">
        <v>649</v>
      </c>
      <c r="I29" s="12" t="inlineStr">
        <is>
          <t>直列双缸 · 水冷</t>
        </is>
      </c>
      <c r="J29" s="6" t="n">
        <v>46</v>
      </c>
      <c r="K29" s="6" t="n">
        <v>62.6</v>
      </c>
      <c r="L29" s="6" t="n">
        <v>63</v>
      </c>
      <c r="M29" s="4" t="n">
        <v>188</v>
      </c>
      <c r="N29" s="4" t="n">
        <v>790</v>
      </c>
      <c r="O29" s="6" t="n">
        <v>15</v>
      </c>
      <c r="P29" s="14">
        <f>IF(OR(K29="",M29="",M29=0),"",ROUND(K29/(M29/1000),0))</f>
        <v/>
      </c>
      <c r="Q29" s="15">
        <f>IF(OR(G29="",H29="",H29=0),"",ROUND(G29/H29,0))</f>
        <v/>
      </c>
      <c r="R29" s="16" t="inlineStr">
        <is>
          <t>通勤代步 · 玩乐跑山 · 新手友好</t>
        </is>
      </c>
      <c r="S29" s="16" t="inlineStr">
        <is>
          <t>中排全能 · Sugomi设计 · 好骑</t>
        </is>
      </c>
      <c r="T29" s="16" t="inlineStr">
        <is>
          <t>649cc 双缸中低扭充沛，日常很轻快；188kg + 790mm 座高，对多数人友好；KTRC 牵引力控制两段可调</t>
        </is>
      </c>
      <c r="U29" s="16" t="inlineStr">
        <is>
          <t>配置较朴素，缺少 TFT 与快排；进口身份但硬件不算突出</t>
        </is>
      </c>
      <c r="V29" s="16" t="inlineStr">
        <is>
          <t>想要进口中排街车、以通勤为主的中级骑手</t>
        </is>
      </c>
    </row>
    <row r="30">
      <c r="A30" s="11" t="n">
        <v>29</v>
      </c>
      <c r="B30" s="12" t="inlineStr">
        <is>
          <t>雅马哈 Yamaha</t>
        </is>
      </c>
      <c r="C30" s="12" t="inlineStr">
        <is>
          <t>雅马哈 MT-07</t>
        </is>
      </c>
      <c r="D30" s="12" t="inlineStr">
        <is>
          <t>Yamaha MT-07</t>
        </is>
      </c>
      <c r="E30" s="13" t="inlineStr">
        <is>
          <t>街车</t>
        </is>
      </c>
      <c r="F30" s="13" t="inlineStr">
        <is>
          <t>进口</t>
        </is>
      </c>
      <c r="G30" s="5" t="n">
        <v>79800</v>
      </c>
      <c r="H30" s="4" t="n">
        <v>689</v>
      </c>
      <c r="I30" s="12" t="inlineStr">
        <is>
          <t>直列双缸 · 水冷 · CP2</t>
        </is>
      </c>
      <c r="J30" s="6" t="n">
        <v>54</v>
      </c>
      <c r="K30" s="6" t="n">
        <v>73.40000000000001</v>
      </c>
      <c r="L30" s="6" t="n">
        <v>67</v>
      </c>
      <c r="M30" s="4" t="n">
        <v>184</v>
      </c>
      <c r="N30" s="4" t="n">
        <v>805</v>
      </c>
      <c r="O30" s="6" t="n">
        <v>13</v>
      </c>
      <c r="P30" s="14">
        <f>IF(OR(K30="",M30="",M30=0),"",ROUND(K30/(M30/1000),0))</f>
        <v/>
      </c>
      <c r="Q30" s="15">
        <f>IF(OR(G30="",H30="",H30=0),"",ROUND(G30/H30,0))</f>
        <v/>
      </c>
      <c r="R30" s="16" t="inlineStr">
        <is>
          <t>玩乐跑山 · 通勤代步</t>
        </is>
      </c>
      <c r="S30" s="16" t="inlineStr">
        <is>
          <t>扭矩大师 · CP2发动机 · 操控好</t>
        </is>
      </c>
      <c r="T30" s="16" t="inlineStr">
        <is>
          <t>低扭极其充沛，不用拉高转就有劲；184kg 车身轻盈，山路非常好骑；CP2 发动机的声浪和质感被广泛认可</t>
        </is>
      </c>
      <c r="U30" s="16" t="inlineStr">
        <is>
          <t>前叉偏软，激烈驾驶信心不足；配置朴素，缺少电控；价格在进口双缸里偏高</t>
        </is>
      </c>
      <c r="V30" s="16" t="inlineStr">
        <is>
          <t>喜欢双缸质感、跑山为主的老手与进阶玩家</t>
        </is>
      </c>
    </row>
    <row r="31">
      <c r="A31" s="11" t="n">
        <v>30</v>
      </c>
      <c r="B31" s="12" t="inlineStr">
        <is>
          <t>川崎 Kawasaki</t>
        </is>
      </c>
      <c r="C31" s="12" t="inlineStr">
        <is>
          <t>川崎 Z900</t>
        </is>
      </c>
      <c r="D31" s="12" t="inlineStr">
        <is>
          <t>Kawasaki Z900</t>
        </is>
      </c>
      <c r="E31" s="13" t="inlineStr">
        <is>
          <t>街车</t>
        </is>
      </c>
      <c r="F31" s="13" t="inlineStr">
        <is>
          <t>进口</t>
        </is>
      </c>
      <c r="G31" s="5" t="n">
        <v>89800</v>
      </c>
      <c r="H31" s="4" t="n">
        <v>948</v>
      </c>
      <c r="I31" s="12" t="inlineStr">
        <is>
          <t>直列四缸 · 水冷</t>
        </is>
      </c>
      <c r="J31" s="6" t="n">
        <v>92</v>
      </c>
      <c r="K31" s="6" t="n">
        <v>123.3</v>
      </c>
      <c r="L31" s="6" t="n">
        <v>97.8</v>
      </c>
      <c r="M31" s="4" t="n">
        <v>213</v>
      </c>
      <c r="N31" s="4" t="n">
        <v>820</v>
      </c>
      <c r="O31" s="6" t="n">
        <v>17</v>
      </c>
      <c r="P31" s="14">
        <f>IF(OR(K31="",M31="",M31=0),"",ROUND(K31/(M31/1000),0))</f>
        <v/>
      </c>
      <c r="Q31" s="15">
        <f>IF(OR(G31="",H31="",H31=0),"",ROUND(G31/H31,0))</f>
        <v/>
      </c>
      <c r="R31" s="16" t="inlineStr">
        <is>
          <t>玩乐跑山 · 通勤代步</t>
        </is>
      </c>
      <c r="S31" s="16" t="inlineStr">
        <is>
          <t>暴力绅士 · 六轴IMU · 四缸</t>
        </is>
      </c>
      <c r="T31" s="16" t="inlineStr">
        <is>
          <t>948cc 四缸 123 匹，动力从容；2025 款加入六轴 IMU、弯道 ABS；进口四缸里性价比非常突出</t>
        </is>
      </c>
      <c r="U31" s="16" t="inlineStr">
        <is>
          <t>213kg 车重，低速挪车费力；油耗不低，市区七到八个油；座高 820mm，新手偏吃力</t>
        </is>
      </c>
      <c r="V31" s="16" t="inlineStr">
        <is>
          <t>有骑行经验、想要进口四缸街车的中高级玩家</t>
        </is>
      </c>
    </row>
    <row r="32">
      <c r="A32" s="11" t="n">
        <v>31</v>
      </c>
      <c r="B32" s="12" t="inlineStr">
        <is>
          <t>本田 Honda</t>
        </is>
      </c>
      <c r="C32" s="12" t="inlineStr">
        <is>
          <t>本田 CB650R</t>
        </is>
      </c>
      <c r="D32" s="12" t="inlineStr">
        <is>
          <t>Honda CB650R</t>
        </is>
      </c>
      <c r="E32" s="13" t="inlineStr">
        <is>
          <t>街车</t>
        </is>
      </c>
      <c r="F32" s="13" t="inlineStr">
        <is>
          <t>进口</t>
        </is>
      </c>
      <c r="G32" s="5" t="n">
        <v>99800</v>
      </c>
      <c r="H32" s="4" t="n">
        <v>649</v>
      </c>
      <c r="I32" s="12" t="inlineStr">
        <is>
          <t>直列四缸 · 水冷</t>
        </is>
      </c>
      <c r="J32" s="6" t="n">
        <v>70</v>
      </c>
      <c r="K32" s="6" t="n">
        <v>95.2</v>
      </c>
      <c r="L32" s="6" t="n">
        <v>63</v>
      </c>
      <c r="M32" s="4" t="n">
        <v>208</v>
      </c>
      <c r="N32" s="4" t="n">
        <v>810</v>
      </c>
      <c r="O32" s="6" t="n">
        <v>15</v>
      </c>
      <c r="P32" s="14">
        <f>IF(OR(K32="",M32="",M32=0),"",ROUND(K32/(M32/1000),0))</f>
        <v/>
      </c>
      <c r="Q32" s="15">
        <f>IF(OR(G32="",H32="",H32=0),"",ROUND(G32/H32,0))</f>
        <v/>
      </c>
      <c r="R32" s="16" t="inlineStr">
        <is>
          <t>通勤代步 · 玩乐跑山</t>
        </is>
      </c>
      <c r="S32" s="16" t="inlineStr">
        <is>
          <t>Neo Sports Café · 四缸 · 品质稳</t>
        </is>
      </c>
      <c r="T32" s="16" t="inlineStr">
        <is>
          <t>四缸声浪与本田做工结合，质感出色；外观复古运动兼具，辨识度高；长期使用省心，保值率高</t>
        </is>
      </c>
      <c r="U32" s="16" t="inlineStr">
        <is>
          <t>价格接近 10 万，配置不算堆料；208kg 车重，低速操控偏沉</t>
        </is>
      </c>
      <c r="V32" s="16" t="inlineStr">
        <is>
          <t>预算充足、看重质感与品牌的四缸街车买家</t>
        </is>
      </c>
    </row>
    <row r="33">
      <c r="A33" s="11" t="n">
        <v>32</v>
      </c>
      <c r="B33" s="12" t="inlineStr">
        <is>
          <t>雅马哈 Yamaha</t>
        </is>
      </c>
      <c r="C33" s="12" t="inlineStr">
        <is>
          <t>雅马哈 MT-09</t>
        </is>
      </c>
      <c r="D33" s="12" t="inlineStr">
        <is>
          <t>Yamaha MT-09</t>
        </is>
      </c>
      <c r="E33" s="13" t="inlineStr">
        <is>
          <t>街车</t>
        </is>
      </c>
      <c r="F33" s="13" t="inlineStr">
        <is>
          <t>进口</t>
        </is>
      </c>
      <c r="G33" s="5" t="n">
        <v>109800</v>
      </c>
      <c r="H33" s="4" t="n">
        <v>890</v>
      </c>
      <c r="I33" s="12" t="inlineStr">
        <is>
          <t>直列三缸 · 水冷</t>
        </is>
      </c>
      <c r="J33" s="6" t="n">
        <v>87.5</v>
      </c>
      <c r="K33" s="6" t="n">
        <v>119</v>
      </c>
      <c r="L33" s="6" t="n">
        <v>93</v>
      </c>
      <c r="M33" s="4" t="n">
        <v>193</v>
      </c>
      <c r="N33" s="4" t="n">
        <v>825</v>
      </c>
      <c r="O33" s="6" t="n">
        <v>14</v>
      </c>
      <c r="P33" s="14">
        <f>IF(OR(K33="",M33="",M33=0),"",ROUND(K33/(M33/1000),0))</f>
        <v/>
      </c>
      <c r="Q33" s="15">
        <f>IF(OR(G33="",H33="",H33=0),"",ROUND(G33/H33,0))</f>
        <v/>
      </c>
      <c r="R33" s="16" t="inlineStr">
        <is>
          <t>玩乐跑山 · 通勤代步</t>
        </is>
      </c>
      <c r="S33" s="16" t="inlineStr">
        <is>
          <t>扭矩大师 · 三缸 · 119匹</t>
        </is>
      </c>
      <c r="T33" s="16" t="inlineStr">
        <is>
          <t>890cc 三缸 119 匹，动力强且输出线性；193kg 配 119 匹，推重比出色；电控与仪表配置现代感强</t>
        </is>
      </c>
      <c r="U33" s="16" t="inlineStr">
        <is>
          <t>价格超过 10 万；座高 825mm，对身高有要求</t>
        </is>
      </c>
      <c r="V33" s="16" t="inlineStr">
        <is>
          <t>预算充足、追求三缸动力质感的资深骑手</t>
        </is>
      </c>
    </row>
    <row r="34">
      <c r="A34" s="11" t="n">
        <v>33</v>
      </c>
      <c r="B34" s="12" t="inlineStr">
        <is>
          <t>凯旋 Triumph</t>
        </is>
      </c>
      <c r="C34" s="12" t="inlineStr">
        <is>
          <t>凯旋 Street Triple 765 R</t>
        </is>
      </c>
      <c r="D34" s="12" t="inlineStr">
        <is>
          <t>Triumph Street Triple 765 R</t>
        </is>
      </c>
      <c r="E34" s="13" t="inlineStr">
        <is>
          <t>街车</t>
        </is>
      </c>
      <c r="F34" s="13" t="inlineStr">
        <is>
          <t>进口</t>
        </is>
      </c>
      <c r="G34" s="5" t="n">
        <v>109800</v>
      </c>
      <c r="H34" s="4" t="n">
        <v>765</v>
      </c>
      <c r="I34" s="12" t="inlineStr">
        <is>
          <t>直列三缸 · 水冷</t>
        </is>
      </c>
      <c r="J34" s="6" t="n">
        <v>88.3</v>
      </c>
      <c r="K34" s="6" t="n">
        <v>120</v>
      </c>
      <c r="L34" s="6" t="n">
        <v>79</v>
      </c>
      <c r="M34" s="4" t="n">
        <v>189</v>
      </c>
      <c r="N34" s="4" t="n">
        <v>826</v>
      </c>
      <c r="O34" s="6" t="n">
        <v>15</v>
      </c>
      <c r="P34" s="14">
        <f>IF(OR(K34="",M34="",M34=0),"",ROUND(K34/(M34/1000),0))</f>
        <v/>
      </c>
      <c r="Q34" s="15">
        <f>IF(OR(G34="",H34="",H34=0),"",ROUND(G34/H34,0))</f>
        <v/>
      </c>
      <c r="R34" s="16" t="inlineStr">
        <is>
          <t>玩乐跑山</t>
        </is>
      </c>
      <c r="S34" s="16" t="inlineStr">
        <is>
          <t>三缸标杆 · 120匹 · 英伦</t>
        </is>
      </c>
      <c r="T34" s="16" t="inlineStr">
        <is>
          <t>765cc 三缸 120 匹，动力与声浪都是标杆；189kg 车架刚性出色，操控精准；电控与制动规格高，赛道日可用</t>
        </is>
      </c>
      <c r="U34" s="16" t="inlineStr">
        <is>
          <t>价格高，落地超 12 万；座高与坐姿偏运动</t>
        </is>
      </c>
      <c r="V34" s="16" t="inlineStr">
        <is>
          <t>预算充足的性能街车玩家与老手</t>
        </is>
      </c>
    </row>
    <row r="35">
      <c r="A35" s="11" t="n">
        <v>34</v>
      </c>
      <c r="B35" s="12" t="inlineStr">
        <is>
          <t>奔达 Benda</t>
        </is>
      </c>
      <c r="C35" s="12" t="inlineStr">
        <is>
          <t>奔达 灰石250</t>
        </is>
      </c>
      <c r="D35" s="12" t="inlineStr">
        <is>
          <t>Benda Greystone 250</t>
        </is>
      </c>
      <c r="E35" s="13" t="inlineStr">
        <is>
          <t>巡航</t>
        </is>
      </c>
      <c r="F35" s="13" t="inlineStr">
        <is>
          <t>国产</t>
        </is>
      </c>
      <c r="G35" s="5" t="n">
        <v>16980</v>
      </c>
      <c r="H35" s="4" t="n">
        <v>250</v>
      </c>
      <c r="I35" s="12" t="inlineStr">
        <is>
          <t>V型双缸 · 水冷</t>
        </is>
      </c>
      <c r="J35" s="6" t="n">
        <v>19</v>
      </c>
      <c r="K35" s="6" t="n">
        <v>25.8</v>
      </c>
      <c r="L35" s="6" t="n">
        <v>23</v>
      </c>
      <c r="M35" s="4" t="n">
        <v>170</v>
      </c>
      <c r="N35" s="4" t="n">
        <v>700</v>
      </c>
      <c r="O35" s="6" t="n">
        <v>14</v>
      </c>
      <c r="P35" s="14">
        <f>IF(OR(K35="",M35="",M35=0),"",ROUND(K35/(M35/1000),0))</f>
        <v/>
      </c>
      <c r="Q35" s="15">
        <f>IF(OR(G35="",H35="",H35=0),"",ROUND(G35/H35,0))</f>
        <v/>
      </c>
      <c r="R35" s="16" t="inlineStr">
        <is>
          <t>城市巡航 · 新手友好</t>
        </is>
      </c>
      <c r="S35" s="16" t="inlineStr">
        <is>
          <t>美式肌肉 · 价格亲民 · 入门首选</t>
        </is>
      </c>
      <c r="T35" s="16" t="inlineStr">
        <is>
          <t>不到 1.7 万就能拥有 V 缸巡航；外观有美式肌肉感，停在路边很吸睛；座高低、车重适中，新手友好</t>
        </is>
      </c>
      <c r="U35" s="16" t="inlineStr">
        <is>
          <t>250cc 动力一般，载人偏吃力；做工细节与进口有差距</t>
        </is>
      </c>
      <c r="V35" s="16" t="inlineStr">
        <is>
          <t>预算有限、想入坑巡航车的新手</t>
        </is>
      </c>
    </row>
    <row r="36">
      <c r="A36" s="11" t="n">
        <v>35</v>
      </c>
      <c r="B36" s="12" t="inlineStr">
        <is>
          <t>无极 VOGE</t>
        </is>
      </c>
      <c r="C36" s="12" t="inlineStr">
        <is>
          <t>无极 CU250</t>
        </is>
      </c>
      <c r="D36" s="12" t="inlineStr">
        <is>
          <t>VOGE CU250</t>
        </is>
      </c>
      <c r="E36" s="13" t="inlineStr">
        <is>
          <t>巡航</t>
        </is>
      </c>
      <c r="F36" s="13" t="inlineStr">
        <is>
          <t>国产</t>
        </is>
      </c>
      <c r="G36" s="5" t="n">
        <v>16980</v>
      </c>
      <c r="H36" s="4" t="n">
        <v>250</v>
      </c>
      <c r="I36" s="12" t="inlineStr">
        <is>
          <t>V型双缸 · 水冷</t>
        </is>
      </c>
      <c r="J36" s="6" t="n">
        <v>20</v>
      </c>
      <c r="K36" s="6" t="n">
        <v>27.2</v>
      </c>
      <c r="L36" s="6" t="n">
        <v>23</v>
      </c>
      <c r="M36" s="4" t="n">
        <v>176</v>
      </c>
      <c r="N36" s="4" t="n">
        <v>700</v>
      </c>
      <c r="O36" s="6" t="n">
        <v>14</v>
      </c>
      <c r="P36" s="14">
        <f>IF(OR(K36="",M36="",M36=0),"",ROUND(K36/(M36/1000),0))</f>
        <v/>
      </c>
      <c r="Q36" s="15">
        <f>IF(OR(G36="",H36="",H36=0),"",ROUND(G36/H36,0))</f>
        <v/>
      </c>
      <c r="R36" s="16" t="inlineStr">
        <is>
          <t>城市巡航 · 新手友好</t>
        </is>
      </c>
      <c r="S36" s="16" t="inlineStr">
        <is>
          <t>新手V缸 · 皮带传动 · 震动小</t>
        </is>
      </c>
      <c r="T36" s="16" t="inlineStr">
        <is>
          <t>皮带传动安静顺滑，免维护；震动抑制在同级里表现不错；座低车轻，新手容易掌控</t>
        </is>
      </c>
      <c r="U36" s="16" t="inlineStr">
        <is>
          <t>250cc 动力有限，跑高速稍显吃力</t>
        </is>
      </c>
      <c r="V36" s="16" t="inlineStr">
        <is>
          <t>入门巡航的新手、日常城市代步</t>
        </is>
      </c>
    </row>
    <row r="37">
      <c r="A37" s="11" t="n">
        <v>36</v>
      </c>
      <c r="B37" s="12" t="inlineStr">
        <is>
          <t>奔达 Benda</t>
        </is>
      </c>
      <c r="C37" s="12" t="inlineStr">
        <is>
          <t>奔达 金吉拉300</t>
        </is>
      </c>
      <c r="D37" s="12" t="inlineStr">
        <is>
          <t>Benda Chinchilla 300</t>
        </is>
      </c>
      <c r="E37" s="13" t="inlineStr">
        <is>
          <t>巡航</t>
        </is>
      </c>
      <c r="F37" s="13" t="inlineStr">
        <is>
          <t>国产</t>
        </is>
      </c>
      <c r="G37" s="5" t="n">
        <v>23800</v>
      </c>
      <c r="H37" s="4" t="n">
        <v>298</v>
      </c>
      <c r="I37" s="12" t="inlineStr">
        <is>
          <t>V型双缸 · 水冷</t>
        </is>
      </c>
      <c r="J37" s="6" t="n">
        <v>20.5</v>
      </c>
      <c r="K37" s="6" t="n">
        <v>27.9</v>
      </c>
      <c r="L37" s="6" t="n">
        <v>26.5</v>
      </c>
      <c r="M37" s="4" t="n">
        <v>163</v>
      </c>
      <c r="N37" s="4" t="n">
        <v>690</v>
      </c>
      <c r="O37" s="6" t="n">
        <v>15</v>
      </c>
      <c r="P37" s="14">
        <f>IF(OR(K37="",M37="",M37=0),"",ROUND(K37/(M37/1000),0))</f>
        <v/>
      </c>
      <c r="Q37" s="15">
        <f>IF(OR(G37="",H37="",H37=0),"",ROUND(G37/H37,0))</f>
        <v/>
      </c>
      <c r="R37" s="16" t="inlineStr">
        <is>
          <t>城市巡航 · 新手友好</t>
        </is>
      </c>
      <c r="S37" s="16" t="inlineStr">
        <is>
          <t>入门V缸 · 690mm超低座高 · 女生友好</t>
        </is>
      </c>
      <c r="T37" s="16" t="inlineStr">
        <is>
          <t>690mm 座高，155cm 也能单脚撑地；V 缸声浪与美式外观辨识度高；163kg 车轻，市区很好操控</t>
        </is>
      </c>
      <c r="U37" s="16" t="inlineStr">
        <is>
          <t>298cc 排量偏小，高速巡航吃力；早期批次品控口碑一般；功率仅 20.5kW，动力谈不上充沛</t>
        </is>
      </c>
      <c r="V37" s="16" t="inlineStr">
        <is>
          <t>新手、身材娇小的骑士、城市巡航代步</t>
        </is>
      </c>
    </row>
    <row r="38">
      <c r="A38" s="11" t="n">
        <v>37</v>
      </c>
      <c r="B38" s="12" t="inlineStr">
        <is>
          <t>QJMOTOR 钱江</t>
        </is>
      </c>
      <c r="C38" s="12" t="inlineStr">
        <is>
          <t>钱江 闪300S</t>
        </is>
      </c>
      <c r="D38" s="12" t="inlineStr">
        <is>
          <t>QJMOTOR 闪300S</t>
        </is>
      </c>
      <c r="E38" s="13" t="inlineStr">
        <is>
          <t>巡航</t>
        </is>
      </c>
      <c r="F38" s="13" t="inlineStr">
        <is>
          <t>国产</t>
        </is>
      </c>
      <c r="G38" s="5" t="n">
        <v>23999</v>
      </c>
      <c r="H38" s="4" t="n">
        <v>298</v>
      </c>
      <c r="I38" s="12" t="inlineStr">
        <is>
          <t>V型双缸 · 水冷</t>
        </is>
      </c>
      <c r="J38" s="6" t="n">
        <v>20.5</v>
      </c>
      <c r="K38" s="6" t="n">
        <v>27.9</v>
      </c>
      <c r="L38" s="6" t="n">
        <v>26.5</v>
      </c>
      <c r="M38" s="4" t="n">
        <v>163</v>
      </c>
      <c r="N38" s="4" t="n">
        <v>690</v>
      </c>
      <c r="O38" s="6" t="n">
        <v>15</v>
      </c>
      <c r="P38" s="14">
        <f>IF(OR(K38="",M38="",M38=0),"",ROUND(K38/(M38/1000),0))</f>
        <v/>
      </c>
      <c r="Q38" s="15">
        <f>IF(OR(G38="",H38="",H38=0),"",ROUND(G38/H38,0))</f>
        <v/>
      </c>
      <c r="R38" s="16" t="inlineStr">
        <is>
          <t>城市巡航 · 新手友好</t>
        </is>
      </c>
      <c r="S38" s="16" t="inlineStr">
        <is>
          <t>最小V缸巡航之一 · 690mm座高 · 好操控</t>
        </is>
      </c>
      <c r="T38" s="16" t="inlineStr">
        <is>
          <t>690mm 座高 + 163kg，娇小骑士也能稳撑；V 缸外观和小巧车身在城市里很讨巧；价格友好，入门门槛低</t>
        </is>
      </c>
      <c r="U38" s="16" t="inlineStr">
        <is>
          <t>排量小，长途与载人不适合；高速稳定性一般</t>
        </is>
      </c>
      <c r="V38" s="16" t="inlineStr">
        <is>
          <t>城市通勤巡航的新手与女性骑士</t>
        </is>
      </c>
    </row>
    <row r="39">
      <c r="A39" s="11" t="n">
        <v>38</v>
      </c>
      <c r="B39" s="12" t="inlineStr">
        <is>
          <t>无极 VOGE</t>
        </is>
      </c>
      <c r="C39" s="12" t="inlineStr">
        <is>
          <t>无极 CU625</t>
        </is>
      </c>
      <c r="D39" s="12" t="inlineStr">
        <is>
          <t>VOGE CU625</t>
        </is>
      </c>
      <c r="E39" s="13" t="inlineStr">
        <is>
          <t>巡航</t>
        </is>
      </c>
      <c r="F39" s="13" t="inlineStr">
        <is>
          <t>国产</t>
        </is>
      </c>
      <c r="G39" s="5" t="n">
        <v>26666</v>
      </c>
      <c r="H39" s="4" t="n">
        <v>578</v>
      </c>
      <c r="I39" s="12" t="inlineStr">
        <is>
          <t>V型双缸 · 水冷</t>
        </is>
      </c>
      <c r="J39" s="6" t="n">
        <v>45</v>
      </c>
      <c r="K39" s="6" t="n">
        <v>61.2</v>
      </c>
      <c r="L39" s="6" t="n">
        <v>61</v>
      </c>
      <c r="M39" s="4" t="n">
        <v>210</v>
      </c>
      <c r="N39" s="4" t="n">
        <v>710</v>
      </c>
      <c r="O39" s="6" t="n">
        <v>16</v>
      </c>
      <c r="P39" s="14">
        <f>IF(OR(K39="",M39="",M39=0),"",ROUND(K39/(M39/1000),0))</f>
        <v/>
      </c>
      <c r="Q39" s="15">
        <f>IF(OR(G39="",H39="",H39=0),"",ROUND(G39/H39,0))</f>
        <v/>
      </c>
      <c r="R39" s="16" t="inlineStr">
        <is>
          <t>城市巡航 · 长途摩旅</t>
        </is>
      </c>
      <c r="S39" s="16" t="inlineStr">
        <is>
          <t>中排巡航卷王 · 三重散热 · 低扭强</t>
        </is>
      </c>
      <c r="T39" s="16" t="inlineStr">
        <is>
          <t>578cc V 缸 61 匹，5500 转就出峰值扭矩；三重散热设计，明显改善 V 缸“烤腿”；710mm 超低座高 + 双平衡轴，震动控制好</t>
        </is>
      </c>
      <c r="U39" s="16" t="inlineStr">
        <is>
          <t>210kg 车重，长时间低速行驶略累；配置偏实用取向，不够“堆料”</t>
        </is>
      </c>
      <c r="V39" s="16" t="inlineStr">
        <is>
          <t>想要中排 V 缸巡航又在意散热与舒适度的进阶骑士</t>
        </is>
      </c>
    </row>
    <row r="40">
      <c r="A40" s="11" t="n">
        <v>39</v>
      </c>
      <c r="B40" s="12" t="inlineStr">
        <is>
          <t>无极 VOGE</t>
        </is>
      </c>
      <c r="C40" s="12" t="inlineStr">
        <is>
          <t>无极 CU525</t>
        </is>
      </c>
      <c r="D40" s="12" t="inlineStr">
        <is>
          <t>VOGE CU525</t>
        </is>
      </c>
      <c r="E40" s="13" t="inlineStr">
        <is>
          <t>巡航</t>
        </is>
      </c>
      <c r="F40" s="13" t="inlineStr">
        <is>
          <t>国产</t>
        </is>
      </c>
      <c r="G40" s="5" t="n">
        <v>26666</v>
      </c>
      <c r="H40" s="4" t="n">
        <v>494</v>
      </c>
      <c r="I40" s="12" t="inlineStr">
        <is>
          <t>直列双缸 · 水冷</t>
        </is>
      </c>
      <c r="J40" s="6" t="n">
        <v>36</v>
      </c>
      <c r="K40" s="6" t="n">
        <v>49</v>
      </c>
      <c r="L40" s="6" t="n">
        <v>45</v>
      </c>
      <c r="M40" s="4" t="n">
        <v>198</v>
      </c>
      <c r="N40" s="4" t="n">
        <v>710</v>
      </c>
      <c r="O40" s="6" t="n">
        <v>16</v>
      </c>
      <c r="P40" s="14">
        <f>IF(OR(K40="",M40="",M40=0),"",ROUND(K40/(M40/1000),0))</f>
        <v/>
      </c>
      <c r="Q40" s="15">
        <f>IF(OR(G40="",H40="",H40=0),"",ROUND(G40/H40,0))</f>
        <v/>
      </c>
      <c r="R40" s="16" t="inlineStr">
        <is>
          <t>城市巡航 · 通勤代步</t>
        </is>
      </c>
      <c r="S40" s="16" t="inlineStr">
        <is>
          <t>中排巡航 · 低座高 · 好上手</t>
        </is>
      </c>
      <c r="T40" s="16" t="inlineStr">
        <is>
          <t>710mm 座高 + 198kg，城市里很好控；双缸动力平顺，日常通勤轻松；无极售后网点覆盖广</t>
        </is>
      </c>
      <c r="U40" s="16" t="inlineStr">
        <is>
          <t>直列双缸声浪不如 V 缸有味道；配置偏实用取向</t>
        </is>
      </c>
      <c r="V40" s="16" t="inlineStr">
        <is>
          <t>城市通勤为主、偶尔周末巡航的中排用户</t>
        </is>
      </c>
    </row>
    <row r="41">
      <c r="A41" s="11" t="n">
        <v>40</v>
      </c>
      <c r="B41" s="12" t="inlineStr">
        <is>
          <t>奔达 Benda</t>
        </is>
      </c>
      <c r="C41" s="12" t="inlineStr">
        <is>
          <t>奔达 金吉拉500</t>
        </is>
      </c>
      <c r="D41" s="12" t="inlineStr">
        <is>
          <t>Benda Chinchilla 500</t>
        </is>
      </c>
      <c r="E41" s="13" t="inlineStr">
        <is>
          <t>巡航</t>
        </is>
      </c>
      <c r="F41" s="13" t="inlineStr">
        <is>
          <t>国产</t>
        </is>
      </c>
      <c r="G41" s="5" t="n">
        <v>26980</v>
      </c>
      <c r="H41" s="4" t="n">
        <v>476</v>
      </c>
      <c r="I41" s="12" t="inlineStr">
        <is>
          <t>V型双缸 · 水冷</t>
        </is>
      </c>
      <c r="J41" s="6" t="n">
        <v>33</v>
      </c>
      <c r="K41" s="6" t="n">
        <v>44.9</v>
      </c>
      <c r="L41" s="6" t="n">
        <v>45</v>
      </c>
      <c r="M41" s="4" t="n">
        <v>199</v>
      </c>
      <c r="N41" s="4" t="n">
        <v>700</v>
      </c>
      <c r="O41" s="6" t="n">
        <v>16</v>
      </c>
      <c r="P41" s="14">
        <f>IF(OR(K41="",M41="",M41=0),"",ROUND(K41/(M41/1000),0))</f>
        <v/>
      </c>
      <c r="Q41" s="15">
        <f>IF(OR(G41="",H41="",H41=0),"",ROUND(G41/H41,0))</f>
        <v/>
      </c>
      <c r="R41" s="16" t="inlineStr">
        <is>
          <t>城市巡航 · 长途摩旅</t>
        </is>
      </c>
      <c r="S41" s="16" t="inlineStr">
        <is>
          <t>中排V缸 · 低座高 · 颜值高</t>
        </is>
      </c>
      <c r="T41" s="16" t="inlineStr">
        <is>
          <t>476cc V 缸 45N·m，动力比 300 级明显充裕；700mm 座高亲民，小个子也能撑住；外观是同级里公认好看的一档</t>
        </is>
      </c>
      <c r="U41" s="16" t="inlineStr">
        <is>
          <t>车重 199kg，低速挪车偏沉；品牌早期品控口碑需留意</t>
        </is>
      </c>
      <c r="V41" s="16" t="inlineStr">
        <is>
          <t>想要中排 V 缸巡航、又在意座高与颜值的用户</t>
        </is>
      </c>
    </row>
    <row r="42">
      <c r="A42" s="11" t="n">
        <v>41</v>
      </c>
      <c r="B42" s="12" t="inlineStr">
        <is>
          <t>QJMOTOR 钱江</t>
        </is>
      </c>
      <c r="C42" s="12" t="inlineStr">
        <is>
          <t>钱江 闪500S</t>
        </is>
      </c>
      <c r="D42" s="12" t="inlineStr">
        <is>
          <t>QJMOTOR 闪500S</t>
        </is>
      </c>
      <c r="E42" s="13" t="inlineStr">
        <is>
          <t>巡航</t>
        </is>
      </c>
      <c r="F42" s="13" t="inlineStr">
        <is>
          <t>国产</t>
        </is>
      </c>
      <c r="G42" s="5" t="n">
        <v>26999</v>
      </c>
      <c r="H42" s="4" t="n">
        <v>496</v>
      </c>
      <c r="I42" s="12" t="inlineStr">
        <is>
          <t>V型双缸 · 水冷</t>
        </is>
      </c>
      <c r="J42" s="6" t="n">
        <v>36</v>
      </c>
      <c r="K42" s="6" t="n">
        <v>49</v>
      </c>
      <c r="L42" s="6" t="n">
        <v>45</v>
      </c>
      <c r="M42" s="4" t="n">
        <v>205</v>
      </c>
      <c r="N42" s="4" t="n">
        <v>700</v>
      </c>
      <c r="O42" s="6" t="n">
        <v>15</v>
      </c>
      <c r="P42" s="14">
        <f>IF(OR(K42="",M42="",M42=0),"",ROUND(K42/(M42/1000),0))</f>
        <v/>
      </c>
      <c r="Q42" s="15">
        <f>IF(OR(G42="",H42="",H42=0),"",ROUND(G42/H42,0))</f>
        <v/>
      </c>
      <c r="R42" s="16" t="inlineStr">
        <is>
          <t>城市巡航</t>
        </is>
      </c>
      <c r="S42" s="16" t="inlineStr">
        <is>
          <t>V缸巡航 · 700mm座高 · 外观硬朗</t>
        </is>
      </c>
      <c r="T42" s="16" t="inlineStr">
        <is>
          <t>496cc V 缸，低扭取向适合巡航；700mm 座高友好，停车稳；外观设计硬朗，辨识度高</t>
        </is>
      </c>
      <c r="U42" s="16" t="inlineStr">
        <is>
          <t>205kg 车重，低速偏沉；高速风阻保护一般</t>
        </is>
      </c>
      <c r="V42" s="16" t="inlineStr">
        <is>
          <t>喜欢 V 缸巡航质感与硬朗外观的中排用户</t>
        </is>
      </c>
    </row>
    <row r="43">
      <c r="A43" s="11" t="n">
        <v>42</v>
      </c>
      <c r="B43" s="12" t="inlineStr">
        <is>
          <t>奔达 Benda</t>
        </is>
      </c>
      <c r="C43" s="12" t="inlineStr">
        <is>
          <t>奔达 黑旗500</t>
        </is>
      </c>
      <c r="D43" s="12" t="inlineStr">
        <is>
          <t>Benda Black Flag 500</t>
        </is>
      </c>
      <c r="E43" s="13" t="inlineStr">
        <is>
          <t>巡航</t>
        </is>
      </c>
      <c r="F43" s="13" t="inlineStr">
        <is>
          <t>国产</t>
        </is>
      </c>
      <c r="G43" s="5" t="n">
        <v>30980</v>
      </c>
      <c r="H43" s="4" t="n">
        <v>496</v>
      </c>
      <c r="I43" s="12" t="inlineStr">
        <is>
          <t>V型双缸 · 水冷</t>
        </is>
      </c>
      <c r="J43" s="6" t="n">
        <v>36</v>
      </c>
      <c r="K43" s="6" t="n">
        <v>49</v>
      </c>
      <c r="L43" s="6" t="n">
        <v>45</v>
      </c>
      <c r="M43" s="4" t="n">
        <v>210</v>
      </c>
      <c r="N43" s="4" t="n">
        <v>690</v>
      </c>
      <c r="O43" s="6" t="n">
        <v>16</v>
      </c>
      <c r="P43" s="14">
        <f>IF(OR(K43="",M43="",M43=0),"",ROUND(K43/(M43/1000),0))</f>
        <v/>
      </c>
      <c r="Q43" s="15">
        <f>IF(OR(G43="",H43="",H43=0),"",ROUND(G43/H43,0))</f>
        <v/>
      </c>
      <c r="R43" s="16" t="inlineStr">
        <is>
          <t>城市巡航</t>
        </is>
      </c>
      <c r="S43" s="16" t="inlineStr">
        <is>
          <t>690mm超低座高 · V缸 · 肌肉感</t>
        </is>
      </c>
      <c r="T43" s="16" t="inlineStr">
        <is>
          <t>690mm 座高，几乎不挑身高；V 缸外观肌肉感强，气场足；标配皮带传动，安静顺滑</t>
        </is>
      </c>
      <c r="U43" s="16" t="inlineStr">
        <is>
          <t>210kg 车重，长时间低速累；油耗偏高</t>
        </is>
      </c>
      <c r="V43" s="16" t="inlineStr">
        <is>
          <t>看重外观气场与低座高的城市巡航玩家</t>
        </is>
      </c>
    </row>
    <row r="44">
      <c r="A44" s="11" t="n">
        <v>43</v>
      </c>
      <c r="B44" s="12" t="inlineStr">
        <is>
          <t>奔达 Benda</t>
        </is>
      </c>
      <c r="C44" s="12" t="inlineStr">
        <is>
          <t>奔达 灰石707</t>
        </is>
      </c>
      <c r="D44" s="12" t="inlineStr">
        <is>
          <t>Benda Greystone 707</t>
        </is>
      </c>
      <c r="E44" s="13" t="inlineStr">
        <is>
          <t>巡航</t>
        </is>
      </c>
      <c r="F44" s="13" t="inlineStr">
        <is>
          <t>国产</t>
        </is>
      </c>
      <c r="G44" s="5" t="n">
        <v>39980</v>
      </c>
      <c r="H44" s="4" t="n">
        <v>693</v>
      </c>
      <c r="I44" s="12" t="inlineStr">
        <is>
          <t>V型双缸 · 水冷</t>
        </is>
      </c>
      <c r="J44" s="6" t="n">
        <v>55</v>
      </c>
      <c r="K44" s="6" t="n">
        <v>74.8</v>
      </c>
      <c r="L44" s="6" t="n">
        <v>68</v>
      </c>
      <c r="M44" s="4" t="n">
        <v>235</v>
      </c>
      <c r="N44" s="4" t="n">
        <v>720</v>
      </c>
      <c r="O44" s="6" t="n">
        <v>18</v>
      </c>
      <c r="P44" s="14">
        <f>IF(OR(K44="",M44="",M44=0),"",ROUND(K44/(M44/1000),0))</f>
        <v/>
      </c>
      <c r="Q44" s="15">
        <f>IF(OR(G44="",H44="",H44=0),"",ROUND(G44/H44,0))</f>
        <v/>
      </c>
      <c r="R44" s="16" t="inlineStr">
        <is>
          <t>城市巡航 · 长途摩旅</t>
        </is>
      </c>
      <c r="S44" s="16" t="inlineStr">
        <is>
          <t>大排V缸 · 74匹 · 长途舒适</t>
        </is>
      </c>
      <c r="T44" s="16" t="inlineStr">
        <is>
          <t>693cc V 缸 74 匹，动力储备充裕；18L 油箱，长途续航好；美式巡航造型大气，长途舒适</t>
        </is>
      </c>
      <c r="U44" s="16" t="inlineStr">
        <is>
          <t>235kg 车重，对体力有要求；价格接近 4 万</t>
        </is>
      </c>
      <c r="V44" s="16" t="inlineStr">
        <is>
          <t>想要大排量美式巡航、能跑长途的进阶骑士</t>
        </is>
      </c>
    </row>
    <row r="45">
      <c r="A45" s="11" t="n">
        <v>44</v>
      </c>
      <c r="B45" s="12" t="inlineStr">
        <is>
          <t>本田 Honda</t>
        </is>
      </c>
      <c r="C45" s="12" t="inlineStr">
        <is>
          <t>本田 CM500</t>
        </is>
      </c>
      <c r="D45" s="12" t="inlineStr">
        <is>
          <t>Honda Rebel 500</t>
        </is>
      </c>
      <c r="E45" s="13" t="inlineStr">
        <is>
          <t>巡航</t>
        </is>
      </c>
      <c r="F45" s="13" t="inlineStr">
        <is>
          <t>进口</t>
        </is>
      </c>
      <c r="G45" s="5" t="n">
        <v>72800</v>
      </c>
      <c r="H45" s="4" t="n">
        <v>471</v>
      </c>
      <c r="I45" s="12" t="inlineStr">
        <is>
          <t>直列双缸 · 水冷</t>
        </is>
      </c>
      <c r="J45" s="6" t="n">
        <v>33.5</v>
      </c>
      <c r="K45" s="6" t="n">
        <v>45.6</v>
      </c>
      <c r="L45" s="6" t="n">
        <v>43</v>
      </c>
      <c r="M45" s="4" t="n">
        <v>191</v>
      </c>
      <c r="N45" s="4" t="n">
        <v>690</v>
      </c>
      <c r="O45" s="6" t="n">
        <v>11</v>
      </c>
      <c r="P45" s="14">
        <f>IF(OR(K45="",M45="",M45=0),"",ROUND(K45/(M45/1000),0))</f>
        <v/>
      </c>
      <c r="Q45" s="15">
        <f>IF(OR(G45="",H45="",H45=0),"",ROUND(G45/H45,0))</f>
        <v/>
      </c>
      <c r="R45" s="16" t="inlineStr">
        <is>
          <t>城市巡航 · 通勤代步</t>
        </is>
      </c>
      <c r="S45" s="16" t="inlineStr">
        <is>
          <t>Rebel系列 · 低座高 · 品质稳</t>
        </is>
      </c>
      <c r="T45" s="16" t="inlineStr">
        <is>
          <t>690mm 座高，几乎不挑身高；本田品控，可靠性极高，保值好；车身紧凑，城市里灵活好骑</t>
        </is>
      </c>
      <c r="U45" s="16" t="inlineStr">
        <is>
          <t>价格偏高，配置朴素；油箱 11L 偏小，续航一般；外观偏素，缺少机械感</t>
        </is>
      </c>
      <c r="V45" s="16" t="inlineStr">
        <is>
          <t>看重品质与保值、以城市巡航为主的骑手</t>
        </is>
      </c>
    </row>
    <row r="46">
      <c r="A46" s="11" t="n">
        <v>45</v>
      </c>
      <c r="B46" s="12" t="inlineStr">
        <is>
          <t>哈雷 Harley-Davidson</t>
        </is>
      </c>
      <c r="C46" s="12" t="inlineStr">
        <is>
          <t>哈雷 Nightster</t>
        </is>
      </c>
      <c r="D46" s="12" t="inlineStr">
        <is>
          <t>Harley-Davidson Nightster</t>
        </is>
      </c>
      <c r="E46" s="13" t="inlineStr">
        <is>
          <t>巡航</t>
        </is>
      </c>
      <c r="F46" s="13" t="inlineStr">
        <is>
          <t>进口</t>
        </is>
      </c>
      <c r="G46" s="5" t="n">
        <v>119800</v>
      </c>
      <c r="H46" s="4" t="n">
        <v>975</v>
      </c>
      <c r="I46" s="12" t="inlineStr">
        <is>
          <t>V型双缸 · 水冷 Revolution Max</t>
        </is>
      </c>
      <c r="J46" s="6" t="n">
        <v>67</v>
      </c>
      <c r="K46" s="6" t="n">
        <v>91</v>
      </c>
      <c r="L46" s="6" t="n">
        <v>95</v>
      </c>
      <c r="M46" s="4" t="n">
        <v>221</v>
      </c>
      <c r="N46" s="4" t="n">
        <v>705</v>
      </c>
      <c r="O46" s="6" t="n">
        <v>11.7</v>
      </c>
      <c r="P46" s="14">
        <f>IF(OR(K46="",M46="",M46=0),"",ROUND(K46/(M46/1000),0))</f>
        <v/>
      </c>
      <c r="Q46" s="15">
        <f>IF(OR(G46="",H46="",H46=0),"",ROUND(G46/H46,0))</f>
        <v/>
      </c>
      <c r="R46" s="16" t="inlineStr">
        <is>
          <t>城市巡航</t>
        </is>
      </c>
      <c r="S46" s="16" t="inlineStr">
        <is>
          <t>哈雷入门 · 91匹 · V缸</t>
        </is>
      </c>
      <c r="T46" s="16" t="inlineStr">
        <is>
          <t>975cc V 缸 91 匹，动力比传统哈雷更现代；705mm 座高，相对好驾驭；品牌气场与辨识度是最大卖点</t>
        </is>
      </c>
      <c r="U46" s="16" t="inlineStr">
        <is>
          <t>油箱仅 11.7L，续航偏短；保养与配件按豪华品牌计价</t>
        </is>
      </c>
      <c r="V46" s="16" t="inlineStr">
        <is>
          <t>想入门哈雷、又希望动力现代化的骑手</t>
        </is>
      </c>
    </row>
    <row r="47">
      <c r="A47" s="11" t="n">
        <v>46</v>
      </c>
      <c r="B47" s="12" t="inlineStr">
        <is>
          <t>本田 Honda</t>
        </is>
      </c>
      <c r="C47" s="12" t="inlineStr">
        <is>
          <t>本田 Rebel 1100</t>
        </is>
      </c>
      <c r="D47" s="12" t="inlineStr">
        <is>
          <t>Honda Rebel 1100</t>
        </is>
      </c>
      <c r="E47" s="13" t="inlineStr">
        <is>
          <t>巡航</t>
        </is>
      </c>
      <c r="F47" s="13" t="inlineStr">
        <is>
          <t>进口</t>
        </is>
      </c>
      <c r="G47" s="5" t="n">
        <v>129800</v>
      </c>
      <c r="H47" s="4" t="n">
        <v>1084</v>
      </c>
      <c r="I47" s="12" t="inlineStr">
        <is>
          <t>直列双缸 · 水冷</t>
        </is>
      </c>
      <c r="J47" s="6" t="n">
        <v>64</v>
      </c>
      <c r="K47" s="6" t="n">
        <v>87</v>
      </c>
      <c r="L47" s="6" t="n">
        <v>98</v>
      </c>
      <c r="M47" s="4" t="n">
        <v>223</v>
      </c>
      <c r="N47" s="4" t="n">
        <v>700</v>
      </c>
      <c r="O47" s="6" t="n">
        <v>13.6</v>
      </c>
      <c r="P47" s="14">
        <f>IF(OR(K47="",M47="",M47=0),"",ROUND(K47/(M47/1000),0))</f>
        <v/>
      </c>
      <c r="Q47" s="15">
        <f>IF(OR(G47="",H47="",H47=0),"",ROUND(G47/H47,0))</f>
        <v/>
      </c>
      <c r="R47" s="16" t="inlineStr">
        <is>
          <t>城市巡航 · 长途摩旅</t>
        </is>
      </c>
      <c r="S47" s="16" t="inlineStr">
        <is>
          <t>大排Rebel · 98N·m · DCT可选</t>
        </is>
      </c>
      <c r="T47" s="16" t="inlineStr">
        <is>
          <t>1084cc 双缸 98N·m，扭矩充沛；700mm 低座高，大车也好撑；可选 DCT 双离合，通勤更省心</t>
        </is>
      </c>
      <c r="U47" s="16" t="inlineStr">
        <is>
          <t>价格接近 13 万；外观偏素，机械感不如美式巡航</t>
        </is>
      </c>
      <c r="V47" s="16" t="inlineStr">
        <is>
          <t>预算充足、想要大排量又好驾驭的巡航买家</t>
        </is>
      </c>
    </row>
    <row r="48">
      <c r="A48" s="11" t="n">
        <v>47</v>
      </c>
      <c r="B48" s="12" t="inlineStr">
        <is>
          <t>哈雷 Harley-Davidson</t>
        </is>
      </c>
      <c r="C48" s="12" t="inlineStr">
        <is>
          <t>哈雷 Sportster S</t>
        </is>
      </c>
      <c r="D48" s="12" t="inlineStr">
        <is>
          <t>Harley-Davidson Sportster S</t>
        </is>
      </c>
      <c r="E48" s="13" t="inlineStr">
        <is>
          <t>巡航</t>
        </is>
      </c>
      <c r="F48" s="13" t="inlineStr">
        <is>
          <t>进口</t>
        </is>
      </c>
      <c r="G48" s="5" t="n">
        <v>139000</v>
      </c>
      <c r="H48" s="4" t="n">
        <v>1252</v>
      </c>
      <c r="I48" s="12" t="inlineStr">
        <is>
          <t>V型双缸 · 水冷 Revolution Max</t>
        </is>
      </c>
      <c r="J48" s="6" t="n">
        <v>90</v>
      </c>
      <c r="K48" s="6" t="n">
        <v>122</v>
      </c>
      <c r="L48" s="6" t="n">
        <v>127</v>
      </c>
      <c r="M48" s="4" t="n">
        <v>228</v>
      </c>
      <c r="N48" s="4" t="n">
        <v>753</v>
      </c>
      <c r="O48" s="6" t="n">
        <v>11.8</v>
      </c>
      <c r="P48" s="14">
        <f>IF(OR(K48="",M48="",M48=0),"",ROUND(K48/(M48/1000),0))</f>
        <v/>
      </c>
      <c r="Q48" s="15">
        <f>IF(OR(G48="",H48="",H48=0),"",ROUND(G48/H48,0))</f>
        <v/>
      </c>
      <c r="R48" s="16" t="inlineStr">
        <is>
          <t>城市巡航 · 玩乐跑山</t>
        </is>
      </c>
      <c r="S48" s="16" t="inlineStr">
        <is>
          <t>美式重机 · 122匹 · 扭矩猛</t>
        </is>
      </c>
      <c r="T48" s="16" t="inlineStr">
        <is>
          <t>1252cc V 缸 127N·m，扭矩随叫随到；外观极具压迫感，气场是它最大的卖点；配置现代，电控与仪表都不落后</t>
        </is>
      </c>
      <c r="U48" s="16" t="inlineStr">
        <is>
          <t>价格高，落地接近 15 万；228kg 车重，操控需要适应；坐姿偏战斗，长途不舒服</t>
        </is>
      </c>
      <c r="V48" s="16" t="inlineStr">
        <is>
          <t>预算充足、追求美式重机气场与扭矩的发烧友</t>
        </is>
      </c>
    </row>
    <row r="49">
      <c r="A49" s="11" t="n">
        <v>48</v>
      </c>
      <c r="B49" s="12" t="inlineStr">
        <is>
          <t>无极 VOGE</t>
        </is>
      </c>
      <c r="C49" s="12" t="inlineStr">
        <is>
          <t>无极 300AC</t>
        </is>
      </c>
      <c r="D49" s="12" t="inlineStr">
        <is>
          <t>VOGE 300AC</t>
        </is>
      </c>
      <c r="E49" s="13" t="inlineStr">
        <is>
          <t>复古</t>
        </is>
      </c>
      <c r="F49" s="13" t="inlineStr">
        <is>
          <t>国产</t>
        </is>
      </c>
      <c r="G49" s="5" t="n">
        <v>16800</v>
      </c>
      <c r="H49" s="4" t="n">
        <v>292</v>
      </c>
      <c r="I49" s="12" t="inlineStr">
        <is>
          <t>单缸 · 水冷</t>
        </is>
      </c>
      <c r="J49" s="6" t="n">
        <v>19</v>
      </c>
      <c r="K49" s="6" t="n">
        <v>25.8</v>
      </c>
      <c r="L49" s="6" t="n">
        <v>24</v>
      </c>
      <c r="M49" s="4" t="n">
        <v>158</v>
      </c>
      <c r="N49" s="4" t="n">
        <v>780</v>
      </c>
      <c r="O49" s="6" t="n">
        <v>14</v>
      </c>
      <c r="P49" s="14">
        <f>IF(OR(K49="",M49="",M49=0),"",ROUND(K49/(M49/1000),0))</f>
        <v/>
      </c>
      <c r="Q49" s="15">
        <f>IF(OR(G49="",H49="",H49=0),"",ROUND(G49/H49,0))</f>
        <v/>
      </c>
      <c r="R49" s="16" t="inlineStr">
        <is>
          <t>通勤代步 · 新手友好</t>
        </is>
      </c>
      <c r="S49" s="16" t="inlineStr">
        <is>
          <t>入门复古 · 轻巧 · 便宜</t>
        </is>
      </c>
      <c r="T49" s="16" t="inlineStr">
        <is>
          <t>1.7 万左右就能拥有复古造型；158kg 车身轻，日常很好骑；座高 780mm，对多数人友好</t>
        </is>
      </c>
      <c r="U49" s="16" t="inlineStr">
        <is>
          <t>单缸震动，长时间骑行手麻；动力偏弱，跑高速费劲</t>
        </is>
      </c>
      <c r="V49" s="16" t="inlineStr">
        <is>
          <t>预算有限、喜欢复古外观的入门骑士</t>
        </is>
      </c>
    </row>
    <row r="50">
      <c r="A50" s="11" t="n">
        <v>49</v>
      </c>
      <c r="B50" s="12" t="inlineStr">
        <is>
          <t>春风 CFMOTO</t>
        </is>
      </c>
      <c r="C50" s="12" t="inlineStr">
        <is>
          <t>春风 250CL-X</t>
        </is>
      </c>
      <c r="D50" s="12" t="inlineStr">
        <is>
          <t>CFMOTO 250CL-X</t>
        </is>
      </c>
      <c r="E50" s="13" t="inlineStr">
        <is>
          <t>复古</t>
        </is>
      </c>
      <c r="F50" s="13" t="inlineStr">
        <is>
          <t>国产</t>
        </is>
      </c>
      <c r="G50" s="5" t="n">
        <v>16980</v>
      </c>
      <c r="H50" s="4" t="n">
        <v>250</v>
      </c>
      <c r="I50" s="12" t="inlineStr">
        <is>
          <t>单缸 · 水冷</t>
        </is>
      </c>
      <c r="J50" s="6" t="n">
        <v>20.5</v>
      </c>
      <c r="K50" s="6" t="n">
        <v>27.9</v>
      </c>
      <c r="L50" s="6" t="n">
        <v>22</v>
      </c>
      <c r="M50" s="4" t="n">
        <v>155</v>
      </c>
      <c r="N50" s="4" t="n">
        <v>780</v>
      </c>
      <c r="O50" s="6" t="n">
        <v>13</v>
      </c>
      <c r="P50" s="14">
        <f>IF(OR(K50="",M50="",M50=0),"",ROUND(K50/(M50/1000),0))</f>
        <v/>
      </c>
      <c r="Q50" s="15">
        <f>IF(OR(G50="",H50="",H50=0),"",ROUND(G50/H50,0))</f>
        <v/>
      </c>
      <c r="R50" s="16" t="inlineStr">
        <is>
          <t>通勤代步 · 新手友好</t>
        </is>
      </c>
      <c r="S50" s="16" t="inlineStr">
        <is>
          <t>入门复古 · 155kg · 便宜</t>
        </is>
      </c>
      <c r="T50" s="16" t="inlineStr">
        <is>
          <t>1.7 万左右就能拥有复古造型；155kg 车轻，日常代步灵活；春风售后网点多，保养便宜</t>
        </is>
      </c>
      <c r="U50" s="16" t="inlineStr">
        <is>
          <t>单缸震动较明显；动力仅够代步，跑高速吃力</t>
        </is>
      </c>
      <c r="V50" s="16" t="inlineStr">
        <is>
          <t>预算有限、喜欢复古外观的新手与通勤族</t>
        </is>
      </c>
    </row>
    <row r="51">
      <c r="A51" s="11" t="n">
        <v>50</v>
      </c>
      <c r="B51" s="12" t="inlineStr">
        <is>
          <t>贝纳利 Benelli</t>
        </is>
      </c>
      <c r="C51" s="12" t="inlineStr">
        <is>
          <t>贝纳利 帝国400</t>
        </is>
      </c>
      <c r="D51" s="12" t="inlineStr">
        <is>
          <t>Benelli Imperiale 400</t>
        </is>
      </c>
      <c r="E51" s="13" t="inlineStr">
        <is>
          <t>复古</t>
        </is>
      </c>
      <c r="F51" s="13" t="inlineStr">
        <is>
          <t>合资</t>
        </is>
      </c>
      <c r="G51" s="5" t="n">
        <v>23800</v>
      </c>
      <c r="H51" s="4" t="n">
        <v>374</v>
      </c>
      <c r="I51" s="12" t="inlineStr">
        <is>
          <t>单缸 · 风冷</t>
        </is>
      </c>
      <c r="J51" s="6" t="n">
        <v>15.5</v>
      </c>
      <c r="K51" s="6" t="n">
        <v>21</v>
      </c>
      <c r="L51" s="6" t="n">
        <v>30</v>
      </c>
      <c r="M51" s="4" t="n">
        <v>200</v>
      </c>
      <c r="N51" s="4" t="n">
        <v>780</v>
      </c>
      <c r="O51" s="6" t="n">
        <v>12</v>
      </c>
      <c r="P51" s="14">
        <f>IF(OR(K51="",M51="",M51=0),"",ROUND(K51/(M51/1000),0))</f>
        <v/>
      </c>
      <c r="Q51" s="15">
        <f>IF(OR(G51="",H51="",H51=0),"",ROUND(G51/H51,0))</f>
        <v/>
      </c>
      <c r="R51" s="16" t="inlineStr">
        <is>
          <t>通勤代步 · 城市巡航</t>
        </is>
      </c>
      <c r="S51" s="16" t="inlineStr">
        <is>
          <t>经典复刻 · 单缸风冷 · 气质沉稳</t>
        </is>
      </c>
      <c r="T51" s="16" t="inlineStr">
        <is>
          <t>造型复古纯粹，气质接近经典英伦车；单缸风冷结构简单，保养便宜；座高 780mm，对多数人友好</t>
        </is>
      </c>
      <c r="U51" s="16" t="inlineStr">
        <is>
          <t>21 匹动力偏弱，200kg 车重拖累加速；风冷单缸高转表现一般</t>
        </is>
      </c>
      <c r="V51" s="16" t="inlineStr">
        <is>
          <t>喜欢纯粹复古造型、慢节奏骑行的用户</t>
        </is>
      </c>
    </row>
    <row r="52">
      <c r="A52" s="11" t="n">
        <v>51</v>
      </c>
      <c r="B52" s="12" t="inlineStr">
        <is>
          <t>无极 VOGE</t>
        </is>
      </c>
      <c r="C52" s="12" t="inlineStr">
        <is>
          <t>无极 525AC</t>
        </is>
      </c>
      <c r="D52" s="12" t="inlineStr">
        <is>
          <t>VOGE 525AC</t>
        </is>
      </c>
      <c r="E52" s="13" t="inlineStr">
        <is>
          <t>复古</t>
        </is>
      </c>
      <c r="F52" s="13" t="inlineStr">
        <is>
          <t>国产</t>
        </is>
      </c>
      <c r="G52" s="5" t="n">
        <v>23980</v>
      </c>
      <c r="H52" s="4" t="n">
        <v>494</v>
      </c>
      <c r="I52" s="12" t="inlineStr">
        <is>
          <t>直列双缸 · 水冷</t>
        </is>
      </c>
      <c r="J52" s="6" t="n">
        <v>36</v>
      </c>
      <c r="K52" s="6" t="n">
        <v>49</v>
      </c>
      <c r="L52" s="6" t="n">
        <v>45</v>
      </c>
      <c r="M52" s="4" t="n">
        <v>190</v>
      </c>
      <c r="N52" s="4" t="n">
        <v>790</v>
      </c>
      <c r="O52" s="6" t="n">
        <v>15</v>
      </c>
      <c r="P52" s="14">
        <f>IF(OR(K52="",M52="",M52=0),"",ROUND(K52/(M52/1000),0))</f>
        <v/>
      </c>
      <c r="Q52" s="15">
        <f>IF(OR(G52="",H52="",H52=0),"",ROUND(G52/H52,0))</f>
        <v/>
      </c>
      <c r="R52" s="16" t="inlineStr">
        <is>
          <t>通勤代步 · 城市巡航</t>
        </is>
      </c>
      <c r="S52" s="16" t="inlineStr">
        <is>
          <t>中排复古 · 双缸 · 配置全</t>
        </is>
      </c>
      <c r="T52" s="16" t="inlineStr">
        <is>
          <t>494cc 双缸，中排复古里动力够用；复古造型现代配置兼得，LED + TFT；价格在 2.4 万左右</t>
        </is>
      </c>
      <c r="U52" s="16" t="inlineStr">
        <is>
          <t>外观复古味不够纯粹；车重 190kg</t>
        </is>
      </c>
      <c r="V52" s="16" t="inlineStr">
        <is>
          <t>想要中排动力 + 复古造型的日常骑手</t>
        </is>
      </c>
    </row>
    <row r="53">
      <c r="A53" s="11" t="n">
        <v>52</v>
      </c>
      <c r="B53" s="12" t="inlineStr">
        <is>
          <t>皇家恩菲尔德 Royal Enfield</t>
        </is>
      </c>
      <c r="C53" s="12" t="inlineStr">
        <is>
          <t>皇家恩菲尔德 Classic 350</t>
        </is>
      </c>
      <c r="D53" s="12" t="inlineStr">
        <is>
          <t>Royal Enfield Classic 350</t>
        </is>
      </c>
      <c r="E53" s="13" t="inlineStr">
        <is>
          <t>复古</t>
        </is>
      </c>
      <c r="F53" s="13" t="inlineStr">
        <is>
          <t>进口</t>
        </is>
      </c>
      <c r="G53" s="5" t="n">
        <v>29800</v>
      </c>
      <c r="H53" s="4" t="n">
        <v>349</v>
      </c>
      <c r="I53" s="12" t="inlineStr">
        <is>
          <t>单缸 · 风冷</t>
        </is>
      </c>
      <c r="J53" s="6" t="n">
        <v>15.5</v>
      </c>
      <c r="K53" s="6" t="n">
        <v>21</v>
      </c>
      <c r="L53" s="6" t="n">
        <v>27</v>
      </c>
      <c r="M53" s="4" t="n">
        <v>195</v>
      </c>
      <c r="N53" s="4" t="n">
        <v>805</v>
      </c>
      <c r="O53" s="6" t="n">
        <v>13</v>
      </c>
      <c r="P53" s="14">
        <f>IF(OR(K53="",M53="",M53=0),"",ROUND(K53/(M53/1000),0))</f>
        <v/>
      </c>
      <c r="Q53" s="15">
        <f>IF(OR(G53="",H53="",H53=0),"",ROUND(G53/H53,0))</f>
        <v/>
      </c>
      <c r="R53" s="16" t="inlineStr">
        <is>
          <t>城市巡航 · 通勤代步</t>
        </is>
      </c>
      <c r="S53" s="16" t="inlineStr">
        <is>
          <t>英伦经典 · 慢骑 · 复古纯粹</t>
        </is>
      </c>
      <c r="T53" s="16" t="inlineStr">
        <is>
          <t>造型极度复古，气质是竞品学不来的；单缸风冷长行程，怠速声浪有味道；保养便宜，可靠性在入门复古里不错</t>
        </is>
      </c>
      <c r="U53" s="16" t="inlineStr">
        <is>
          <t>21 匹动力很弱，只能慢骑；195kg 车重配弱动力，加速慢</t>
        </is>
      </c>
      <c r="V53" s="16" t="inlineStr">
        <is>
          <t>追求复古氛围与慢节奏、不追求性能的骑手</t>
        </is>
      </c>
    </row>
    <row r="54">
      <c r="A54" s="11" t="n">
        <v>53</v>
      </c>
      <c r="B54" s="12" t="inlineStr">
        <is>
          <t>贝纳利 Benelli</t>
        </is>
      </c>
      <c r="C54" s="12" t="inlineStr">
        <is>
          <t>贝纳利 幼狮500</t>
        </is>
      </c>
      <c r="D54" s="12" t="inlineStr">
        <is>
          <t>Benelli Leoncino 500</t>
        </is>
      </c>
      <c r="E54" s="13" t="inlineStr">
        <is>
          <t>复古</t>
        </is>
      </c>
      <c r="F54" s="13" t="inlineStr">
        <is>
          <t>合资</t>
        </is>
      </c>
      <c r="G54" s="5" t="n">
        <v>33800</v>
      </c>
      <c r="H54" s="4" t="n">
        <v>499</v>
      </c>
      <c r="I54" s="12" t="inlineStr">
        <is>
          <t>直列双缸 · 水冷</t>
        </is>
      </c>
      <c r="J54" s="6" t="n">
        <v>35</v>
      </c>
      <c r="K54" s="6" t="n">
        <v>47.6</v>
      </c>
      <c r="L54" s="6" t="n">
        <v>45</v>
      </c>
      <c r="M54" s="4" t="n">
        <v>196</v>
      </c>
      <c r="N54" s="4" t="n">
        <v>800</v>
      </c>
      <c r="O54" s="6" t="n">
        <v>12.5</v>
      </c>
      <c r="P54" s="14">
        <f>IF(OR(K54="",M54="",M54=0),"",ROUND(K54/(M54/1000),0))</f>
        <v/>
      </c>
      <c r="Q54" s="15">
        <f>IF(OR(G54="",H54="",H54=0),"",ROUND(G54/H54,0))</f>
        <v/>
      </c>
      <c r="R54" s="16" t="inlineStr">
        <is>
          <t>通勤代步 · 城市巡航</t>
        </is>
      </c>
      <c r="S54" s="16" t="inlineStr">
        <is>
          <t>意式复古 · 声浪好 · 有格调</t>
        </is>
      </c>
      <c r="T54" s="16" t="inlineStr">
        <is>
          <t>意大利设计语言，复古氛围到位；双缸声浪比同级单缸好听很多；中排动力，通勤与周末都够用</t>
        </is>
      </c>
      <c r="U54" s="16" t="inlineStr">
        <is>
          <t>196kg 车重，挪车偏沉；油耗和保养成本高于国产同级；售后网点密度不如本田/雅马哈</t>
        </is>
      </c>
      <c r="V54" s="16" t="inlineStr">
        <is>
          <t>喜欢意式复古风格、有点格调需求的骑手</t>
        </is>
      </c>
    </row>
    <row r="55">
      <c r="A55" s="11" t="n">
        <v>54</v>
      </c>
      <c r="B55" s="12" t="inlineStr">
        <is>
          <t>凯旋 Triumph</t>
        </is>
      </c>
      <c r="C55" s="12" t="inlineStr">
        <is>
          <t>凯旋 Speed 400</t>
        </is>
      </c>
      <c r="D55" s="12" t="inlineStr">
        <is>
          <t>Triumph Speed 400</t>
        </is>
      </c>
      <c r="E55" s="13" t="inlineStr">
        <is>
          <t>复古</t>
        </is>
      </c>
      <c r="F55" s="13" t="inlineStr">
        <is>
          <t>进口</t>
        </is>
      </c>
      <c r="G55" s="5" t="n">
        <v>34900</v>
      </c>
      <c r="H55" s="4" t="n">
        <v>398</v>
      </c>
      <c r="I55" s="12" t="inlineStr">
        <is>
          <t>单缸 · 水冷</t>
        </is>
      </c>
      <c r="J55" s="6" t="n">
        <v>29.4</v>
      </c>
      <c r="K55" s="6" t="n">
        <v>40</v>
      </c>
      <c r="L55" s="6" t="n">
        <v>37.5</v>
      </c>
      <c r="M55" s="4" t="n">
        <v>170</v>
      </c>
      <c r="N55" s="4" t="n">
        <v>790</v>
      </c>
      <c r="O55" s="6" t="n">
        <v>13</v>
      </c>
      <c r="P55" s="14">
        <f>IF(OR(K55="",M55="",M55=0),"",ROUND(K55/(M55/1000),0))</f>
        <v/>
      </c>
      <c r="Q55" s="15">
        <f>IF(OR(G55="",H55="",H55=0),"",ROUND(G55/H55,0))</f>
        <v/>
      </c>
      <c r="R55" s="16" t="inlineStr">
        <is>
          <t>通勤代步 · 城市巡航 · 新手友好</t>
        </is>
      </c>
      <c r="S55" s="16" t="inlineStr">
        <is>
          <t>入门凯旋 · 170kg · 英伦质感</t>
        </is>
      </c>
      <c r="T55" s="16" t="inlineStr">
        <is>
          <t>不到 3.5 万就能入门凯旋，品牌门槛低；398cc 单缸 40 匹，动力比同排量充足；170kg + 790mm，新手上手友好</t>
        </is>
      </c>
      <c r="U55" s="16" t="inlineStr">
        <is>
          <t>单缸震动与高速延展一般；配置偏基础</t>
        </is>
      </c>
      <c r="V55" s="16" t="inlineStr">
        <is>
          <t>想入门英伦品牌、预算 3.5 万左右的复古爱好者</t>
        </is>
      </c>
    </row>
    <row r="56">
      <c r="A56" s="11" t="n">
        <v>55</v>
      </c>
      <c r="B56" s="12" t="inlineStr">
        <is>
          <t>本田 Honda</t>
        </is>
      </c>
      <c r="C56" s="12" t="inlineStr">
        <is>
          <t>本田 CB350</t>
        </is>
      </c>
      <c r="D56" s="12" t="inlineStr">
        <is>
          <t>Honda CB350</t>
        </is>
      </c>
      <c r="E56" s="13" t="inlineStr">
        <is>
          <t>复古</t>
        </is>
      </c>
      <c r="F56" s="13" t="inlineStr">
        <is>
          <t>进口</t>
        </is>
      </c>
      <c r="G56" s="5" t="n">
        <v>35800</v>
      </c>
      <c r="H56" s="4" t="n">
        <v>348</v>
      </c>
      <c r="I56" s="12" t="inlineStr">
        <is>
          <t>单缸 · 风冷</t>
        </is>
      </c>
      <c r="J56" s="6" t="n">
        <v>15.5</v>
      </c>
      <c r="K56" s="6" t="n">
        <v>21</v>
      </c>
      <c r="L56" s="6" t="n">
        <v>30</v>
      </c>
      <c r="M56" s="4" t="n">
        <v>181</v>
      </c>
      <c r="N56" s="4" t="n">
        <v>800</v>
      </c>
      <c r="O56" s="6" t="n">
        <v>15</v>
      </c>
      <c r="P56" s="14">
        <f>IF(OR(K56="",M56="",M56=0),"",ROUND(K56/(M56/1000),0))</f>
        <v/>
      </c>
      <c r="Q56" s="15">
        <f>IF(OR(G56="",H56="",H56=0),"",ROUND(G56/H56,0))</f>
        <v/>
      </c>
      <c r="R56" s="16" t="inlineStr">
        <is>
          <t>通勤代步 · 城市巡航</t>
        </is>
      </c>
      <c r="S56" s="16" t="inlineStr">
        <is>
          <t>经典复刻 · 做工精致 · 省油</t>
        </is>
      </c>
      <c r="T56" s="16" t="inlineStr">
        <is>
          <t>做工与漆水质感在同价位里很突出；单缸风冷，结构简单、极其省油；气质沉稳，慢骑很享受</t>
        </is>
      </c>
      <c r="U56" s="16" t="inlineStr">
        <is>
          <t>21 匹动力偏弱，超车要留距离；风冷单缸高转表现一般；价格在 350cc 级别里不算低</t>
        </is>
      </c>
      <c r="V56" s="16" t="inlineStr">
        <is>
          <t>复古情怀党、享受慢节奏骑行的用户</t>
        </is>
      </c>
    </row>
    <row r="57">
      <c r="A57" s="11" t="n">
        <v>56</v>
      </c>
      <c r="B57" s="12" t="inlineStr">
        <is>
          <t>春风 CFMOTO</t>
        </is>
      </c>
      <c r="C57" s="12" t="inlineStr">
        <is>
          <t>春风 700CL-X</t>
        </is>
      </c>
      <c r="D57" s="12" t="inlineStr">
        <is>
          <t>CFMOTO 700CL-X</t>
        </is>
      </c>
      <c r="E57" s="13" t="inlineStr">
        <is>
          <t>复古</t>
        </is>
      </c>
      <c r="F57" s="13" t="inlineStr">
        <is>
          <t>国产</t>
        </is>
      </c>
      <c r="G57" s="5" t="n">
        <v>45800</v>
      </c>
      <c r="H57" s="4" t="n">
        <v>693</v>
      </c>
      <c r="I57" s="12" t="inlineStr">
        <is>
          <t>直列双缸 · 水冷</t>
        </is>
      </c>
      <c r="J57" s="6" t="n">
        <v>55</v>
      </c>
      <c r="K57" s="6" t="n">
        <v>74.8</v>
      </c>
      <c r="L57" s="6" t="n">
        <v>68</v>
      </c>
      <c r="M57" s="4" t="n">
        <v>195</v>
      </c>
      <c r="N57" s="4" t="n">
        <v>800</v>
      </c>
      <c r="O57" s="6" t="n">
        <v>13</v>
      </c>
      <c r="P57" s="14">
        <f>IF(OR(K57="",M57="",M57=0),"",ROUND(K57/(M57/1000),0))</f>
        <v/>
      </c>
      <c r="Q57" s="15">
        <f>IF(OR(G57="",H57="",H57=0),"",ROUND(G57/H57,0))</f>
        <v/>
      </c>
      <c r="R57" s="16" t="inlineStr">
        <is>
          <t>通勤代步 · 玩乐跑山</t>
        </is>
      </c>
      <c r="S57" s="16" t="inlineStr">
        <is>
          <t>复古Cafe风 · 中排 · 配置全</t>
        </is>
      </c>
      <c r="T57" s="16" t="inlineStr">
        <is>
          <t>693cc 双缸 75 匹，动力在中排复古里很充足；外观有 Cafe Racer 味道，辨识度高；TFT 仪表、定速巡航等配置齐全</t>
        </is>
      </c>
      <c r="U57" s="16" t="inlineStr">
        <is>
          <t>保有量偏少，配件和二手流通一般；保养成本比入门级高</t>
        </is>
      </c>
      <c r="V57" s="16" t="inlineStr">
        <is>
          <t>想要中排动力 + 复古造型的骑手</t>
        </is>
      </c>
    </row>
    <row r="58">
      <c r="A58" s="11" t="n">
        <v>57</v>
      </c>
      <c r="B58" s="12" t="inlineStr">
        <is>
          <t>贝纳利 Benelli</t>
        </is>
      </c>
      <c r="C58" s="12" t="inlineStr">
        <is>
          <t>贝纳利 幼狮800</t>
        </is>
      </c>
      <c r="D58" s="12" t="inlineStr">
        <is>
          <t>Benelli Leoncino 800</t>
        </is>
      </c>
      <c r="E58" s="13" t="inlineStr">
        <is>
          <t>复古</t>
        </is>
      </c>
      <c r="F58" s="13" t="inlineStr">
        <is>
          <t>合资</t>
        </is>
      </c>
      <c r="G58" s="5" t="n">
        <v>55800</v>
      </c>
      <c r="H58" s="4" t="n">
        <v>754</v>
      </c>
      <c r="I58" s="12" t="inlineStr">
        <is>
          <t>直列双缸 · 水冷</t>
        </is>
      </c>
      <c r="J58" s="6" t="n">
        <v>56</v>
      </c>
      <c r="K58" s="6" t="n">
        <v>76</v>
      </c>
      <c r="L58" s="6" t="n">
        <v>67</v>
      </c>
      <c r="M58" s="4" t="n">
        <v>215</v>
      </c>
      <c r="N58" s="4" t="n">
        <v>800</v>
      </c>
      <c r="O58" s="6" t="n">
        <v>15</v>
      </c>
      <c r="P58" s="14">
        <f>IF(OR(K58="",M58="",M58=0),"",ROUND(K58/(M58/1000),0))</f>
        <v/>
      </c>
      <c r="Q58" s="15">
        <f>IF(OR(G58="",H58="",H58=0),"",ROUND(G58/H58,0))</f>
        <v/>
      </c>
      <c r="R58" s="16" t="inlineStr">
        <is>
          <t>通勤代步 · 玩乐跑山</t>
        </is>
      </c>
      <c r="S58" s="16" t="inlineStr">
        <is>
          <t>大排复古 · 76匹 · 意式</t>
        </is>
      </c>
      <c r="T58" s="16" t="inlineStr">
        <is>
          <t>754cc 双缸 76 匹，复古车里动力充沛；意式设计语言，做工与质感有辨识度；配置齐全，制动规格不低</t>
        </is>
      </c>
      <c r="U58" s="16" t="inlineStr">
        <is>
          <t>215kg 车重，挪车偏沉；价格接近 5.6 万，竞品多</t>
        </is>
      </c>
      <c r="V58" s="16" t="inlineStr">
        <is>
          <t>想要大排量复古、在意设计与动力的骑手</t>
        </is>
      </c>
    </row>
    <row r="59">
      <c r="A59" s="11" t="n">
        <v>58</v>
      </c>
      <c r="B59" s="12" t="inlineStr">
        <is>
          <t>凯旋 Triumph</t>
        </is>
      </c>
      <c r="C59" s="12" t="inlineStr">
        <is>
          <t>凯旋 Trident 660</t>
        </is>
      </c>
      <c r="D59" s="12" t="inlineStr">
        <is>
          <t>Triumph Trident 660</t>
        </is>
      </c>
      <c r="E59" s="13" t="inlineStr">
        <is>
          <t>复古</t>
        </is>
      </c>
      <c r="F59" s="13" t="inlineStr">
        <is>
          <t>进口</t>
        </is>
      </c>
      <c r="G59" s="5" t="n">
        <v>66900</v>
      </c>
      <c r="H59" s="4" t="n">
        <v>660</v>
      </c>
      <c r="I59" s="12" t="inlineStr">
        <is>
          <t>直列三缸 · 水冷</t>
        </is>
      </c>
      <c r="J59" s="6" t="n">
        <v>60</v>
      </c>
      <c r="K59" s="6" t="n">
        <v>81</v>
      </c>
      <c r="L59" s="6" t="n">
        <v>64</v>
      </c>
      <c r="M59" s="4" t="n">
        <v>189</v>
      </c>
      <c r="N59" s="4" t="n">
        <v>805</v>
      </c>
      <c r="O59" s="6" t="n">
        <v>14</v>
      </c>
      <c r="P59" s="14">
        <f>IF(OR(K59="",M59="",M59=0),"",ROUND(K59/(M59/1000),0))</f>
        <v/>
      </c>
      <c r="Q59" s="15">
        <f>IF(OR(G59="",H59="",H59=0),"",ROUND(G59/H59,0))</f>
        <v/>
      </c>
      <c r="R59" s="16" t="inlineStr">
        <is>
          <t>通勤代步 · 玩乐跑山</t>
        </is>
      </c>
      <c r="S59" s="16" t="inlineStr">
        <is>
          <t>三缸 · 英伦 · 六轴IMU</t>
        </is>
      </c>
      <c r="T59" s="16" t="inlineStr">
        <is>
          <t>660cc 三缸 81 匹，动力与声浪都很有魅力；2025 款加入六轴 IMU、弯道 ABS 与牵引力控制；进口车里性价比相当能打</t>
        </is>
      </c>
      <c r="U59" s="16" t="inlineStr">
        <is>
          <t>价格仍偏高，落地七万五左右；保养与配件成本按进口标准</t>
        </is>
      </c>
      <c r="V59" s="16" t="inlineStr">
        <is>
          <t>想要进口质感与三缸独特魅力的进阶骑士</t>
        </is>
      </c>
    </row>
    <row r="60">
      <c r="A60" s="11" t="n">
        <v>59</v>
      </c>
      <c r="B60" s="12" t="inlineStr">
        <is>
          <t>雅马哈 Yamaha</t>
        </is>
      </c>
      <c r="C60" s="12" t="inlineStr">
        <is>
          <t>雅马哈 XSR700</t>
        </is>
      </c>
      <c r="D60" s="12" t="inlineStr">
        <is>
          <t>Yamaha XSR700</t>
        </is>
      </c>
      <c r="E60" s="13" t="inlineStr">
        <is>
          <t>复古</t>
        </is>
      </c>
      <c r="F60" s="13" t="inlineStr">
        <is>
          <t>进口</t>
        </is>
      </c>
      <c r="G60" s="5" t="n">
        <v>89800</v>
      </c>
      <c r="H60" s="4" t="n">
        <v>689</v>
      </c>
      <c r="I60" s="12" t="inlineStr">
        <is>
          <t>直列双缸 · 水冷 · CP2</t>
        </is>
      </c>
      <c r="J60" s="6" t="n">
        <v>54</v>
      </c>
      <c r="K60" s="6" t="n">
        <v>73.40000000000001</v>
      </c>
      <c r="L60" s="6" t="n">
        <v>67</v>
      </c>
      <c r="M60" s="4" t="n">
        <v>186</v>
      </c>
      <c r="N60" s="4" t="n">
        <v>835</v>
      </c>
      <c r="O60" s="6" t="n">
        <v>13</v>
      </c>
      <c r="P60" s="14">
        <f>IF(OR(K60="",M60="",M60=0),"",ROUND(K60/(M60/1000),0))</f>
        <v/>
      </c>
      <c r="Q60" s="15">
        <f>IF(OR(G60="",H60="",H60=0),"",ROUND(G60/H60,0))</f>
        <v/>
      </c>
      <c r="R60" s="16" t="inlineStr">
        <is>
          <t>玩乐跑山 · 通勤代步</t>
        </is>
      </c>
      <c r="S60" s="16" t="inlineStr">
        <is>
          <t>CP2发动机 · 复古跑车 · 扭矩好</t>
        </is>
      </c>
      <c r="T60" s="16" t="inlineStr">
        <is>
          <t>与 MT-07 同源 CP2 发动机，低扭充沛；186kg 车身，复古车里算轻巧；外观复古但底盘现代，好玩好骑</t>
        </is>
      </c>
      <c r="U60" s="16" t="inlineStr">
        <is>
          <t>座高 835mm 偏高；价格接近 9 万，配置偏朴素</t>
        </is>
      </c>
      <c r="V60" s="16" t="inlineStr">
        <is>
          <t>喜欢复古外观又想要现代操控的进阶骑手</t>
        </is>
      </c>
    </row>
    <row r="61">
      <c r="A61" s="11" t="n">
        <v>60</v>
      </c>
      <c r="B61" s="12" t="inlineStr">
        <is>
          <t>摩托古兹 Moto Guzzi</t>
        </is>
      </c>
      <c r="C61" s="12" t="inlineStr">
        <is>
          <t>摩托古兹 V7</t>
        </is>
      </c>
      <c r="D61" s="12" t="inlineStr">
        <is>
          <t>Moto Guzzi V7</t>
        </is>
      </c>
      <c r="E61" s="13" t="inlineStr">
        <is>
          <t>复古</t>
        </is>
      </c>
      <c r="F61" s="13" t="inlineStr">
        <is>
          <t>进口</t>
        </is>
      </c>
      <c r="G61" s="5" t="n">
        <v>89900</v>
      </c>
      <c r="H61" s="4" t="n">
        <v>853</v>
      </c>
      <c r="I61" s="12" t="inlineStr">
        <is>
          <t>V型双缸 · 风冷 · 横置曲轴</t>
        </is>
      </c>
      <c r="J61" s="6" t="n">
        <v>48</v>
      </c>
      <c r="K61" s="6" t="n">
        <v>65</v>
      </c>
      <c r="L61" s="6" t="n">
        <v>73</v>
      </c>
      <c r="M61" s="4" t="n">
        <v>218</v>
      </c>
      <c r="N61" s="4" t="n">
        <v>780</v>
      </c>
      <c r="O61" s="6" t="n">
        <v>21</v>
      </c>
      <c r="P61" s="14">
        <f>IF(OR(K61="",M61="",M61=0),"",ROUND(K61/(M61/1000),0))</f>
        <v/>
      </c>
      <c r="Q61" s="15">
        <f>IF(OR(G61="",H61="",H61=0),"",ROUND(G61/H61,0))</f>
        <v/>
      </c>
      <c r="R61" s="16" t="inlineStr">
        <is>
          <t>城市巡航 · 长途摩旅</t>
        </is>
      </c>
      <c r="S61" s="16" t="inlineStr">
        <is>
          <t>横置V缸 · 意式经典 · 21L油箱</t>
        </is>
      </c>
      <c r="T61" s="16" t="inlineStr">
        <is>
          <t>横置 V 缸是独一无二的机械美学；21L 大油箱，续航出色；做工与质感属进口复古第一梯队</t>
        </is>
      </c>
      <c r="U61" s="16" t="inlineStr">
        <is>
          <t>价格接近 9 万，性价比不高；售后网点少，维修周期长</t>
        </is>
      </c>
      <c r="V61" s="16" t="inlineStr">
        <is>
          <t>预算充足、追求独特机械美学与意式格调的收藏型骑手</t>
        </is>
      </c>
    </row>
    <row r="62">
      <c r="A62" s="11" t="n">
        <v>61</v>
      </c>
      <c r="B62" s="12" t="inlineStr">
        <is>
          <t>本田 Honda</t>
        </is>
      </c>
      <c r="C62" s="12" t="inlineStr">
        <is>
          <t>本田 CB1100</t>
        </is>
      </c>
      <c r="D62" s="12" t="inlineStr">
        <is>
          <t>Honda CB1100</t>
        </is>
      </c>
      <c r="E62" s="13" t="inlineStr">
        <is>
          <t>复古</t>
        </is>
      </c>
      <c r="F62" s="13" t="inlineStr">
        <is>
          <t>进口</t>
        </is>
      </c>
      <c r="G62" s="5" t="n">
        <v>139800</v>
      </c>
      <c r="H62" s="4" t="n">
        <v>1140</v>
      </c>
      <c r="I62" s="12" t="inlineStr">
        <is>
          <t>直列四缸 · 风冷</t>
        </is>
      </c>
      <c r="J62" s="6" t="n">
        <v>66</v>
      </c>
      <c r="K62" s="6" t="n">
        <v>90</v>
      </c>
      <c r="L62" s="6" t="n">
        <v>93</v>
      </c>
      <c r="M62" s="4" t="n">
        <v>252</v>
      </c>
      <c r="N62" s="4" t="n">
        <v>795</v>
      </c>
      <c r="O62" s="6" t="n">
        <v>16.8</v>
      </c>
      <c r="P62" s="14">
        <f>IF(OR(K62="",M62="",M62=0),"",ROUND(K62/(M62/1000),0))</f>
        <v/>
      </c>
      <c r="Q62" s="15">
        <f>IF(OR(G62="",H62="",H62=0),"",ROUND(G62/H62,0))</f>
        <v/>
      </c>
      <c r="R62" s="16" t="inlineStr">
        <is>
          <t>城市巡航 · 通勤代步</t>
        </is>
      </c>
      <c r="S62" s="16" t="inlineStr">
        <is>
          <t>风冷四缸 · 经典复刻 · 质感天花板</t>
        </is>
      </c>
      <c r="T62" s="16" t="inlineStr">
        <is>
          <t>1140cc 风冷四缸，经典机械美学的代表；做工与质感在同级里几乎无可挑剔；四缸平顺，长途巡航从容</t>
        </is>
      </c>
      <c r="U62" s="16" t="inlineStr">
        <is>
          <t>252kg 车重，挪车很吃力；价格接近 14 万，且车源稀少</t>
        </is>
      </c>
      <c r="V62" s="16" t="inlineStr">
        <is>
          <t>预算充足、追求经典风冷四缸质感的资深收藏型骑手</t>
        </is>
      </c>
    </row>
    <row r="63">
      <c r="A63" s="11" t="n">
        <v>62</v>
      </c>
      <c r="B63" s="12" t="inlineStr">
        <is>
          <t>凯越 KAYO</t>
        </is>
      </c>
      <c r="C63" s="12" t="inlineStr">
        <is>
          <t>凯越 525X</t>
        </is>
      </c>
      <c r="D63" s="12" t="inlineStr">
        <is>
          <t>KAYO 525X</t>
        </is>
      </c>
      <c r="E63" s="13" t="inlineStr">
        <is>
          <t>拉力ADV</t>
        </is>
      </c>
      <c r="F63" s="13" t="inlineStr">
        <is>
          <t>国产</t>
        </is>
      </c>
      <c r="G63" s="5" t="n">
        <v>28500</v>
      </c>
      <c r="H63" s="4" t="n">
        <v>500</v>
      </c>
      <c r="I63" s="12" t="inlineStr">
        <is>
          <t>直列双缸 · 水冷</t>
        </is>
      </c>
      <c r="J63" s="6" t="n">
        <v>39.6</v>
      </c>
      <c r="K63" s="6" t="n">
        <v>53.8</v>
      </c>
      <c r="L63" s="6" t="n">
        <v>50.5</v>
      </c>
      <c r="M63" s="4" t="n">
        <v>205</v>
      </c>
      <c r="N63" s="4" t="n">
        <v>820</v>
      </c>
      <c r="O63" s="6" t="n">
        <v>17</v>
      </c>
      <c r="P63" s="14">
        <f>IF(OR(K63="",M63="",M63=0),"",ROUND(K63/(M63/1000),0))</f>
        <v/>
      </c>
      <c r="Q63" s="15">
        <f>IF(OR(G63="",H63="",H63=0),"",ROUND(G63/H63,0))</f>
        <v/>
      </c>
      <c r="R63" s="16" t="inlineStr">
        <is>
          <t>长途摩旅 · 越野林道</t>
        </is>
      </c>
      <c r="S63" s="16" t="inlineStr">
        <is>
          <t>国产500级ADV标杆 · 越野强 · 跌破3万</t>
        </is>
      </c>
      <c r="T63" s="16" t="inlineStr">
        <is>
          <t>非铺装通过性在同级里数一数二；操控灵活，走烂路很有底气；国产 500cc ADV 里唯一官降到 3 万内</t>
        </is>
      </c>
      <c r="U63" s="16" t="inlineStr">
        <is>
          <t>高速巡航稳定性略逊于公路取向竞品；座高 820mm，矮个子吃力</t>
        </is>
      </c>
      <c r="V63" s="16" t="inlineStr">
        <is>
          <t>想兼顾公路与轻度越野的摩旅玩家</t>
        </is>
      </c>
    </row>
    <row r="64">
      <c r="A64" s="11" t="n">
        <v>63</v>
      </c>
      <c r="B64" s="12" t="inlineStr">
        <is>
          <t>本田 Honda</t>
        </is>
      </c>
      <c r="C64" s="12" t="inlineStr">
        <is>
          <t>本田 NX400</t>
        </is>
      </c>
      <c r="D64" s="12" t="inlineStr">
        <is>
          <t>Honda NX400</t>
        </is>
      </c>
      <c r="E64" s="13" t="inlineStr">
        <is>
          <t>拉力ADV</t>
        </is>
      </c>
      <c r="F64" s="13" t="inlineStr">
        <is>
          <t>合资</t>
        </is>
      </c>
      <c r="G64" s="5" t="n">
        <v>29980</v>
      </c>
      <c r="H64" s="4" t="n">
        <v>399</v>
      </c>
      <c r="I64" s="12" t="inlineStr">
        <is>
          <t>直列双缸 · 水冷</t>
        </is>
      </c>
      <c r="J64" s="6" t="n">
        <v>33</v>
      </c>
      <c r="K64" s="6" t="n">
        <v>44.9</v>
      </c>
      <c r="L64" s="6" t="n">
        <v>37</v>
      </c>
      <c r="M64" s="4" t="n">
        <v>196</v>
      </c>
      <c r="N64" s="4" t="n">
        <v>800</v>
      </c>
      <c r="O64" s="6" t="n">
        <v>17</v>
      </c>
      <c r="P64" s="14">
        <f>IF(OR(K64="",M64="",M64=0),"",ROUND(K64/(M64/1000),0))</f>
        <v/>
      </c>
      <c r="Q64" s="15">
        <f>IF(OR(G64="",H64="",H64=0),"",ROUND(G64/H64,0))</f>
        <v/>
      </c>
      <c r="R64" s="16" t="inlineStr">
        <is>
          <t>长途摩旅 · 通勤代步</t>
        </is>
      </c>
      <c r="S64" s="16" t="inlineStr">
        <is>
          <t>本田品控 · 均衡 · 保值</t>
        </is>
      </c>
      <c r="T64" s="16" t="inlineStr">
        <is>
          <t>本田品牌背书，可靠性高、保值好；车身轻巧，市区与长途都轻松；座高 800mm，对多数人友好</t>
        </is>
      </c>
      <c r="U64" s="16" t="inlineStr">
        <is>
          <t>配置朴素，动力对比国产竞品无优势；越野能力偏弱</t>
        </is>
      </c>
      <c r="V64" s="16" t="inlineStr">
        <is>
          <t>看重品牌可靠性与保值率的稳健摩旅党</t>
        </is>
      </c>
    </row>
    <row r="65">
      <c r="A65" s="11" t="n">
        <v>64</v>
      </c>
      <c r="B65" s="12" t="inlineStr">
        <is>
          <t>春风 CFMOTO</t>
        </is>
      </c>
      <c r="C65" s="12" t="inlineStr">
        <is>
          <t>春风 450MT</t>
        </is>
      </c>
      <c r="D65" s="12" t="inlineStr">
        <is>
          <t>CFMOTO 450MT</t>
        </is>
      </c>
      <c r="E65" s="13" t="inlineStr">
        <is>
          <t>拉力ADV</t>
        </is>
      </c>
      <c r="F65" s="13" t="inlineStr">
        <is>
          <t>国产</t>
        </is>
      </c>
      <c r="G65" s="5" t="n">
        <v>30580</v>
      </c>
      <c r="H65" s="4" t="n">
        <v>450</v>
      </c>
      <c r="I65" s="12" t="inlineStr">
        <is>
          <t>直列双缸 · 水冷</t>
        </is>
      </c>
      <c r="J65" s="6" t="n">
        <v>32.5</v>
      </c>
      <c r="K65" s="6" t="n">
        <v>44.2</v>
      </c>
      <c r="L65" s="6" t="n">
        <v>44</v>
      </c>
      <c r="M65" s="4" t="n">
        <v>194</v>
      </c>
      <c r="N65" s="4" t="n">
        <v>820</v>
      </c>
      <c r="O65" s="6" t="n">
        <v>17</v>
      </c>
      <c r="P65" s="14">
        <f>IF(OR(K65="",M65="",M65=0),"",ROUND(K65/(M65/1000),0))</f>
        <v/>
      </c>
      <c r="Q65" s="15">
        <f>IF(OR(G65="",H65="",H65=0),"",ROUND(G65/H65,0))</f>
        <v/>
      </c>
      <c r="R65" s="16" t="inlineStr">
        <is>
          <t>越野林道 · 长途摩旅</t>
        </is>
      </c>
      <c r="S65" s="16" t="inlineStr">
        <is>
          <t>非铺装玩乐 · 轻 · 同价位无竞品</t>
        </is>
      </c>
      <c r="T65" s="16" t="inlineStr">
        <is>
          <t>194kg 车轻，烂路操控非常灵活；定位偏硬派玩乐，同级几乎没有直接对手；外观和装备感在同价位很突出</t>
        </is>
      </c>
      <c r="U65" s="16" t="inlineStr">
        <is>
          <t>公路巡航表现中规中矩；动力在 450 级别中不算突出；座高 820mm，新手偏吃力</t>
        </is>
      </c>
      <c r="V65" s="16" t="inlineStr">
        <is>
          <t>第一诉求是非铺装通过性和玩乐性的车友</t>
        </is>
      </c>
    </row>
    <row r="66">
      <c r="A66" s="11" t="n">
        <v>65</v>
      </c>
      <c r="B66" s="12" t="inlineStr">
        <is>
          <t>无极 VOGE</t>
        </is>
      </c>
      <c r="C66" s="12" t="inlineStr">
        <is>
          <t>无极 DS525X</t>
        </is>
      </c>
      <c r="D66" s="12" t="inlineStr">
        <is>
          <t>VOGE DS525X</t>
        </is>
      </c>
      <c r="E66" s="13" t="inlineStr">
        <is>
          <t>拉力ADV</t>
        </is>
      </c>
      <c r="F66" s="13" t="inlineStr">
        <is>
          <t>国产</t>
        </is>
      </c>
      <c r="G66" s="5" t="n">
        <v>31766</v>
      </c>
      <c r="H66" s="4" t="n">
        <v>494</v>
      </c>
      <c r="I66" s="12" t="inlineStr">
        <is>
          <t>直列双缸 · 水冷</t>
        </is>
      </c>
      <c r="J66" s="6" t="n">
        <v>41</v>
      </c>
      <c r="K66" s="6" t="n">
        <v>55.8</v>
      </c>
      <c r="L66" s="6" t="n">
        <v>50.5</v>
      </c>
      <c r="M66" s="4" t="n">
        <v>213</v>
      </c>
      <c r="N66" s="4" t="n">
        <v>830</v>
      </c>
      <c r="O66" s="6" t="n">
        <v>18</v>
      </c>
      <c r="P66" s="14">
        <f>IF(OR(K66="",M66="",M66=0),"",ROUND(K66/(M66/1000),0))</f>
        <v/>
      </c>
      <c r="Q66" s="15">
        <f>IF(OR(G66="",H66="",H66=0),"",ROUND(G66/H66,0))</f>
        <v/>
      </c>
      <c r="R66" s="16" t="inlineStr">
        <is>
          <t>长途摩旅 · 越野林道</t>
        </is>
      </c>
      <c r="S66" s="16" t="inlineStr">
        <is>
          <t>保有量大 · 口碑好 · 配置均衡</t>
        </is>
      </c>
      <c r="T66" s="16" t="inlineStr">
        <is>
          <t>无极 DS 系列的口碑担当，保有量大；18L 油箱 + 213kg，长途综合表现均衡；配件与改装生态成熟</t>
        </is>
      </c>
      <c r="U66" s="16" t="inlineStr">
        <is>
          <t>对比 DS625X 动力与配置差一档；座高 830mm 偏高</t>
        </is>
      </c>
      <c r="V66" s="16" t="inlineStr">
        <is>
          <t>想要成熟可靠中排 ADV、预算 3 万出头的摩旅党</t>
        </is>
      </c>
    </row>
    <row r="67">
      <c r="A67" s="11" t="n">
        <v>66</v>
      </c>
      <c r="B67" s="12" t="inlineStr">
        <is>
          <t>凯越 KAYO</t>
        </is>
      </c>
      <c r="C67" s="12" t="inlineStr">
        <is>
          <t>凯越 625X</t>
        </is>
      </c>
      <c r="D67" s="12" t="inlineStr">
        <is>
          <t>KAYO 625X</t>
        </is>
      </c>
      <c r="E67" s="13" t="inlineStr">
        <is>
          <t>拉力ADV</t>
        </is>
      </c>
      <c r="F67" s="13" t="inlineStr">
        <is>
          <t>国产</t>
        </is>
      </c>
      <c r="G67" s="5" t="n">
        <v>31777</v>
      </c>
      <c r="H67" s="4" t="n">
        <v>581</v>
      </c>
      <c r="I67" s="12" t="inlineStr">
        <is>
          <t>直列双缸 · 水冷 · 270°曲轴</t>
        </is>
      </c>
      <c r="J67" s="6" t="n">
        <v>47</v>
      </c>
      <c r="K67" s="6" t="n">
        <v>63.9</v>
      </c>
      <c r="L67" s="6" t="n">
        <v>57</v>
      </c>
      <c r="M67" s="4" t="n">
        <v>218</v>
      </c>
      <c r="N67" s="4" t="n">
        <v>820</v>
      </c>
      <c r="O67" s="6" t="n">
        <v>21.5</v>
      </c>
      <c r="P67" s="14">
        <f>IF(OR(K67="",M67="",M67=0),"",ROUND(K67/(M67/1000),0))</f>
        <v/>
      </c>
      <c r="Q67" s="15">
        <f>IF(OR(G67="",H67="",H67=0),"",ROUND(G67/H67,0))</f>
        <v/>
      </c>
      <c r="R67" s="16" t="inlineStr">
        <is>
          <t>长途摩旅 · 越野林道</t>
        </is>
      </c>
      <c r="S67" s="16" t="inlineStr">
        <is>
          <t>21.5L续航 · 毫米波雷达 · 智能减震可选</t>
        </is>
      </c>
      <c r="T67" s="16" t="inlineStr">
        <is>
          <t>21.5L 超大油箱，长途续航是第一梯队；智能减震版集成自适应阻尼 ADS + 液压举升 ALS；标配毫米波雷达、TCS、T-BOX 车联网</t>
        </is>
      </c>
      <c r="U67" s="16" t="inlineStr">
        <is>
          <t>座高 820mm，对身高有要求；整备质量 218kg（含三箱），烂路偏重</t>
        </is>
      </c>
      <c r="V67" s="16" t="inlineStr">
        <is>
          <t>跑长途摩旅、看重续航与配置的进阶 ADV 玩家</t>
        </is>
      </c>
    </row>
    <row r="68">
      <c r="A68" s="11" t="n">
        <v>67</v>
      </c>
      <c r="B68" s="12" t="inlineStr">
        <is>
          <t>贝纳利 Benelli</t>
        </is>
      </c>
      <c r="C68" s="12" t="inlineStr">
        <is>
          <t>贝纳利 TRK552</t>
        </is>
      </c>
      <c r="D68" s="12" t="inlineStr">
        <is>
          <t>Benelli TRK552</t>
        </is>
      </c>
      <c r="E68" s="13" t="inlineStr">
        <is>
          <t>拉力ADV</t>
        </is>
      </c>
      <c r="F68" s="13" t="inlineStr">
        <is>
          <t>合资</t>
        </is>
      </c>
      <c r="G68" s="5" t="n">
        <v>32680</v>
      </c>
      <c r="H68" s="4" t="n">
        <v>550</v>
      </c>
      <c r="I68" s="12" t="inlineStr">
        <is>
          <t>直列双缸 · 水冷</t>
        </is>
      </c>
      <c r="J68" s="6" t="n">
        <v>45</v>
      </c>
      <c r="K68" s="6" t="n">
        <v>61.2</v>
      </c>
      <c r="L68" s="6" t="n">
        <v>55</v>
      </c>
      <c r="M68" s="4" t="n">
        <v>235</v>
      </c>
      <c r="N68" s="4" t="n">
        <v>830</v>
      </c>
      <c r="O68" s="6" t="n">
        <v>20</v>
      </c>
      <c r="P68" s="14">
        <f>IF(OR(K68="",M68="",M68=0),"",ROUND(K68/(M68/1000),0))</f>
        <v/>
      </c>
      <c r="Q68" s="15">
        <f>IF(OR(G68="",H68="",H68=0),"",ROUND(G68/H68,0))</f>
        <v/>
      </c>
      <c r="R68" s="16" t="inlineStr">
        <is>
          <t>长途摩旅 · 通勤代步</t>
        </is>
      </c>
      <c r="S68" s="16" t="inlineStr">
        <is>
          <t>公路坦克 · 风阻保护好 · 体量感强</t>
        </is>
      </c>
      <c r="T68" s="16" t="inlineStr">
        <is>
          <t>高速稳定性优秀，风阻保护是同价位最好的之一；550cc 双缸 61 匹，长途巡航有余量；气场接近公升级 ADV，外观很唬人</t>
        </is>
      </c>
      <c r="U68" s="16" t="inlineStr">
        <is>
          <t>235kg 车重，非铺装路面很吃力；原地挪车对体力要求高</t>
        </is>
      </c>
      <c r="V68" s="16" t="inlineStr">
        <is>
          <t>以长途公路摩旅为主、喜欢大气场的骑手</t>
        </is>
      </c>
    </row>
    <row r="69">
      <c r="A69" s="11" t="n">
        <v>68</v>
      </c>
      <c r="B69" s="12" t="inlineStr">
        <is>
          <t>无极 VOGE</t>
        </is>
      </c>
      <c r="C69" s="12" t="inlineStr">
        <is>
          <t>无极 DS625X</t>
        </is>
      </c>
      <c r="D69" s="12" t="inlineStr">
        <is>
          <t>VOGE DS625X</t>
        </is>
      </c>
      <c r="E69" s="13" t="inlineStr">
        <is>
          <t>拉力ADV</t>
        </is>
      </c>
      <c r="F69" s="13" t="inlineStr">
        <is>
          <t>国产</t>
        </is>
      </c>
      <c r="G69" s="5" t="n">
        <v>32999</v>
      </c>
      <c r="H69" s="4" t="n">
        <v>581</v>
      </c>
      <c r="I69" s="12" t="inlineStr">
        <is>
          <t>直列双缸 · 水冷 · 270°曲轴</t>
        </is>
      </c>
      <c r="J69" s="6" t="n">
        <v>47</v>
      </c>
      <c r="K69" s="6" t="n">
        <v>63.9</v>
      </c>
      <c r="L69" s="6" t="n">
        <v>57</v>
      </c>
      <c r="M69" s="4" t="n">
        <v>213</v>
      </c>
      <c r="N69" s="4" t="n">
        <v>830</v>
      </c>
      <c r="O69" s="6" t="n">
        <v>18</v>
      </c>
      <c r="P69" s="14">
        <f>IF(OR(K69="",M69="",M69=0),"",ROUND(K69/(M69/1000),0))</f>
        <v/>
      </c>
      <c r="Q69" s="15">
        <f>IF(OR(G69="",H69="",H69=0),"",ROUND(G69/H69,0))</f>
        <v/>
      </c>
      <c r="R69" s="16" t="inlineStr">
        <is>
          <t>长途摩旅 · 越野林道</t>
        </is>
      </c>
      <c r="S69" s="16" t="inlineStr">
        <is>
          <t>宝马同源 · KYB可调 · 续航500km</t>
        </is>
      </c>
      <c r="T69" s="16" t="inlineStr">
        <is>
          <t>581cc 双缸 64 匹，270° 曲轴低扭强劲；KYB 全可调减震 + 双通道 ABS/TCS，配置拉满；18L 油箱，极限续航可超 500 公里</t>
        </is>
      </c>
      <c r="U69" s="16" t="inlineStr">
        <is>
          <t>座高 830mm，对身高要求高；高速长时间骑行散热表现一般</t>
        </is>
      </c>
      <c r="V69" s="16" t="inlineStr">
        <is>
          <t>跑长途摩旅 + 非铺装，预算 3 万多的进阶玩家</t>
        </is>
      </c>
    </row>
    <row r="70">
      <c r="A70" s="11" t="n">
        <v>69</v>
      </c>
      <c r="B70" s="12" t="inlineStr">
        <is>
          <t>贝纳利 Benelli</t>
        </is>
      </c>
      <c r="C70" s="12" t="inlineStr">
        <is>
          <t>贝纳利 TRK502X</t>
        </is>
      </c>
      <c r="D70" s="12" t="inlineStr">
        <is>
          <t>Benelli TRK502X</t>
        </is>
      </c>
      <c r="E70" s="13" t="inlineStr">
        <is>
          <t>拉力ADV</t>
        </is>
      </c>
      <c r="F70" s="13" t="inlineStr">
        <is>
          <t>合资</t>
        </is>
      </c>
      <c r="G70" s="5" t="n">
        <v>37800</v>
      </c>
      <c r="H70" s="4" t="n">
        <v>500</v>
      </c>
      <c r="I70" s="12" t="inlineStr">
        <is>
          <t>直列双缸 · 水冷</t>
        </is>
      </c>
      <c r="J70" s="6" t="n">
        <v>35</v>
      </c>
      <c r="K70" s="6" t="n">
        <v>47.6</v>
      </c>
      <c r="L70" s="6" t="n">
        <v>46</v>
      </c>
      <c r="M70" s="4" t="n">
        <v>235</v>
      </c>
      <c r="N70" s="4" t="n">
        <v>830</v>
      </c>
      <c r="O70" s="6" t="n">
        <v>20</v>
      </c>
      <c r="P70" s="14">
        <f>IF(OR(K70="",M70="",M70=0),"",ROUND(K70/(M70/1000),0))</f>
        <v/>
      </c>
      <c r="Q70" s="15">
        <f>IF(OR(G70="",H70="",H70=0),"",ROUND(G70/H70,0))</f>
        <v/>
      </c>
      <c r="R70" s="16" t="inlineStr">
        <is>
          <t>长途摩旅</t>
        </is>
      </c>
      <c r="S70" s="16" t="inlineStr">
        <is>
          <t>公路坦克 · 20L油箱 · 体量大</t>
        </is>
      </c>
      <c r="T70" s="16" t="inlineStr">
        <is>
          <t>20L 油箱，长途续航优秀；体量感强，风阻保护好；TRK 系列保有量大，配件好找</t>
        </is>
      </c>
      <c r="U70" s="16" t="inlineStr">
        <is>
          <t>235kg 车重，非铺装很吃力；动力在同排量中不算突出</t>
        </is>
      </c>
      <c r="V70" s="16" t="inlineStr">
        <is>
          <t>以高速与公路长途为主、喜欢大体量感的摩旅党</t>
        </is>
      </c>
    </row>
    <row r="71">
      <c r="A71" s="11" t="n">
        <v>70</v>
      </c>
      <c r="B71" s="12" t="inlineStr">
        <is>
          <t>春风 CFMOTO</t>
        </is>
      </c>
      <c r="C71" s="12" t="inlineStr">
        <is>
          <t>春风 700MT</t>
        </is>
      </c>
      <c r="D71" s="12" t="inlineStr">
        <is>
          <t>CFMOTO 700MT</t>
        </is>
      </c>
      <c r="E71" s="13" t="inlineStr">
        <is>
          <t>拉力ADV</t>
        </is>
      </c>
      <c r="F71" s="13" t="inlineStr">
        <is>
          <t>国产</t>
        </is>
      </c>
      <c r="G71" s="5" t="n">
        <v>42980</v>
      </c>
      <c r="H71" s="4" t="n">
        <v>693</v>
      </c>
      <c r="I71" s="12" t="inlineStr">
        <is>
          <t>直列双缸 · 水冷</t>
        </is>
      </c>
      <c r="J71" s="6" t="n">
        <v>55</v>
      </c>
      <c r="K71" s="6" t="n">
        <v>74.8</v>
      </c>
      <c r="L71" s="6" t="n">
        <v>68</v>
      </c>
      <c r="M71" s="4" t="n">
        <v>226</v>
      </c>
      <c r="N71" s="4" t="n">
        <v>830</v>
      </c>
      <c r="O71" s="6" t="n">
        <v>18</v>
      </c>
      <c r="P71" s="14">
        <f>IF(OR(K71="",M71="",M71=0),"",ROUND(K71/(M71/1000),0))</f>
        <v/>
      </c>
      <c r="Q71" s="15">
        <f>IF(OR(G71="",H71="",H71=0),"",ROUND(G71/H71,0))</f>
        <v/>
      </c>
      <c r="R71" s="16" t="inlineStr">
        <is>
          <t>长途摩旅 · 通勤代步</t>
        </is>
      </c>
      <c r="S71" s="16" t="inlineStr">
        <is>
          <t>中排摩旅 · 74匹 · 性价比</t>
        </is>
      </c>
      <c r="T71" s="16" t="inlineStr">
        <is>
          <t>693cc 双缸 74.8 匹，长途巡航有余量；18L 油箱，续航 400km 以上；春风售后网点覆盖广</t>
        </is>
      </c>
      <c r="U71" s="16" t="inlineStr">
        <is>
          <t>226kg 车重，越野能力一般；定位偏公路，非铺装通过性有限</t>
        </is>
      </c>
      <c r="V71" s="16" t="inlineStr">
        <is>
          <t>以公路长途摩旅为主、预算 4 万多的骑手</t>
        </is>
      </c>
    </row>
    <row r="72">
      <c r="A72" s="11" t="n">
        <v>71</v>
      </c>
      <c r="B72" s="12" t="inlineStr">
        <is>
          <t>宝马 BMW</t>
        </is>
      </c>
      <c r="C72" s="12" t="inlineStr">
        <is>
          <t>宝马 G310GS</t>
        </is>
      </c>
      <c r="D72" s="12" t="inlineStr">
        <is>
          <t>BMW G310GS</t>
        </is>
      </c>
      <c r="E72" s="13" t="inlineStr">
        <is>
          <t>拉力ADV</t>
        </is>
      </c>
      <c r="F72" s="13" t="inlineStr">
        <is>
          <t>进口</t>
        </is>
      </c>
      <c r="G72" s="5" t="n">
        <v>51900</v>
      </c>
      <c r="H72" s="4" t="n">
        <v>313</v>
      </c>
      <c r="I72" s="12" t="inlineStr">
        <is>
          <t>单缸 · 水冷</t>
        </is>
      </c>
      <c r="J72" s="6" t="n">
        <v>25</v>
      </c>
      <c r="K72" s="6" t="n">
        <v>34</v>
      </c>
      <c r="L72" s="6" t="n">
        <v>28</v>
      </c>
      <c r="M72" s="4" t="n">
        <v>169</v>
      </c>
      <c r="N72" s="4" t="n">
        <v>835</v>
      </c>
      <c r="O72" s="6" t="n">
        <v>11</v>
      </c>
      <c r="P72" s="14">
        <f>IF(OR(K72="",M72="",M72=0),"",ROUND(K72/(M72/1000),0))</f>
        <v/>
      </c>
      <c r="Q72" s="15">
        <f>IF(OR(G72="",H72="",H72=0),"",ROUND(G72/H72,0))</f>
        <v/>
      </c>
      <c r="R72" s="16" t="inlineStr">
        <is>
          <t>通勤代步 · 越野林道</t>
        </is>
      </c>
      <c r="S72" s="16" t="inlineStr">
        <is>
          <t>宝马入门ADV · 169kg · 品牌门槛低</t>
        </is>
      </c>
      <c r="T72" s="16" t="inlineStr">
        <is>
          <t>宝马 ADV 产品线里门槛最低的一款；169kg 车轻，城市与轻度烂路都好控；品牌保值与形象是加分项</t>
        </is>
      </c>
      <c r="U72" s="16" t="inlineStr">
        <is>
          <t>313cc 单缸 34 匹，动力偏弱；价格 5 万出头，配置不高</t>
        </is>
      </c>
      <c r="V72" s="16" t="inlineStr">
        <is>
          <t>想入门宝马 ADV、以通勤和轻越野为主的骑手</t>
        </is>
      </c>
    </row>
    <row r="73">
      <c r="A73" s="11" t="n">
        <v>72</v>
      </c>
      <c r="B73" s="12" t="inlineStr">
        <is>
          <t>无极 VOGE</t>
        </is>
      </c>
      <c r="C73" s="12" t="inlineStr">
        <is>
          <t>无极 DS900X</t>
        </is>
      </c>
      <c r="D73" s="12" t="inlineStr">
        <is>
          <t>VOGE DS900X</t>
        </is>
      </c>
      <c r="E73" s="13" t="inlineStr">
        <is>
          <t>拉力ADV</t>
        </is>
      </c>
      <c r="F73" s="13" t="inlineStr">
        <is>
          <t>国产</t>
        </is>
      </c>
      <c r="G73" s="5" t="n">
        <v>54980</v>
      </c>
      <c r="H73" s="4" t="n">
        <v>895</v>
      </c>
      <c r="I73" s="12" t="inlineStr">
        <is>
          <t>直列双缸 · 水冷 · 270°曲轴</t>
        </is>
      </c>
      <c r="J73" s="6" t="n">
        <v>71</v>
      </c>
      <c r="K73" s="6" t="n">
        <v>96.5</v>
      </c>
      <c r="L73" s="6" t="n">
        <v>95</v>
      </c>
      <c r="M73" s="4" t="n">
        <v>234</v>
      </c>
      <c r="N73" s="4" t="n">
        <v>835</v>
      </c>
      <c r="O73" s="6" t="n">
        <v>17</v>
      </c>
      <c r="P73" s="14">
        <f>IF(OR(K73="",M73="",M73=0),"",ROUND(K73/(M73/1000),0))</f>
        <v/>
      </c>
      <c r="Q73" s="15">
        <f>IF(OR(G73="",H73="",H73=0),"",ROUND(G73/H73,0))</f>
        <v/>
      </c>
      <c r="R73" s="16" t="inlineStr">
        <is>
          <t>长途摩旅 · 越野林道</t>
        </is>
      </c>
      <c r="S73" s="16" t="inlineStr">
        <is>
          <t>宝马F900GS同源 · 96.5匹 · 布雷博+KYB</t>
        </is>
      </c>
      <c r="T73" s="16" t="inlineStr">
        <is>
          <t>与宝马 F900GS 同源 895cc 双缸，71kW/95N·m；Brembo 刹车 + KYB 全可调减震 + 21 寸辐条轮；六轴 IMU、弯道 ABS、毫米波雷达盲区监测齐全</t>
        </is>
      </c>
      <c r="U73" s="16" t="inlineStr">
        <is>
          <t>座高 835mm，234kg 车重，新手不建议；电子系统复杂，长期可靠性待验证</t>
        </is>
      </c>
      <c r="V73" s="16" t="inlineStr">
        <is>
          <t>预算 5 万多想上准公升 ADV、追求满配的中高级骑手</t>
        </is>
      </c>
    </row>
    <row r="74">
      <c r="A74" s="11" t="n">
        <v>73</v>
      </c>
      <c r="B74" s="12" t="inlineStr">
        <is>
          <t>春风 CFMOTO</t>
        </is>
      </c>
      <c r="C74" s="12" t="inlineStr">
        <is>
          <t>春风 800MT</t>
        </is>
      </c>
      <c r="D74" s="12" t="inlineStr">
        <is>
          <t>CFMOTO 800MT</t>
        </is>
      </c>
      <c r="E74" s="13" t="inlineStr">
        <is>
          <t>拉力ADV</t>
        </is>
      </c>
      <c r="F74" s="13" t="inlineStr">
        <is>
          <t>国产</t>
        </is>
      </c>
      <c r="G74" s="5" t="n">
        <v>57980</v>
      </c>
      <c r="H74" s="4" t="n">
        <v>799</v>
      </c>
      <c r="I74" s="12" t="inlineStr">
        <is>
          <t>直列双缸 · 水冷</t>
        </is>
      </c>
      <c r="J74" s="6" t="n">
        <v>70</v>
      </c>
      <c r="K74" s="6" t="n">
        <v>95.2</v>
      </c>
      <c r="L74" s="6" t="n">
        <v>77</v>
      </c>
      <c r="M74" s="4" t="n">
        <v>231</v>
      </c>
      <c r="N74" s="4" t="n">
        <v>830</v>
      </c>
      <c r="O74" s="6" t="n">
        <v>18.5</v>
      </c>
      <c r="P74" s="14">
        <f>IF(OR(K74="",M74="",M74=0),"",ROUND(K74/(M74/1000),0))</f>
        <v/>
      </c>
      <c r="Q74" s="15">
        <f>IF(OR(G74="",H74="",H74=0),"",ROUND(G74/H74,0))</f>
        <v/>
      </c>
      <c r="R74" s="16" t="inlineStr">
        <is>
          <t>长途摩旅 · 越野林道</t>
        </is>
      </c>
      <c r="S74" s="16" t="inlineStr">
        <is>
          <t>KTM同源 · 95匹 · 大排ADV</t>
        </is>
      </c>
      <c r="T74" s="16" t="inlineStr">
        <is>
          <t>799cc 双缸 95 匹，动力在中排 ADV 里领先；与 KTM 同平台开发，底盘有底子；配置高，KYB 减震 + 大油箱</t>
        </is>
      </c>
      <c r="U74" s="16" t="inlineStr">
        <is>
          <t>231kg 车重，非铺装路面吃力；价格接近 5.8 万</t>
        </is>
      </c>
      <c r="V74" s="16" t="inlineStr">
        <is>
          <t>要动力要配置、以公路摩旅为主的中高级玩家</t>
        </is>
      </c>
    </row>
    <row r="75">
      <c r="A75" s="11" t="n">
        <v>74</v>
      </c>
      <c r="B75" s="12" t="inlineStr">
        <is>
          <t>KTM</t>
        </is>
      </c>
      <c r="C75" s="12" t="inlineStr">
        <is>
          <t>KTM 390 Adventure</t>
        </is>
      </c>
      <c r="D75" s="12" t="inlineStr">
        <is>
          <t>KTM 390 Adventure</t>
        </is>
      </c>
      <c r="E75" s="13" t="inlineStr">
        <is>
          <t>拉力ADV</t>
        </is>
      </c>
      <c r="F75" s="13" t="inlineStr">
        <is>
          <t>进口</t>
        </is>
      </c>
      <c r="G75" s="5" t="n">
        <v>59800</v>
      </c>
      <c r="H75" s="4" t="n">
        <v>373</v>
      </c>
      <c r="I75" s="12" t="inlineStr">
        <is>
          <t>单缸 · 水冷</t>
        </is>
      </c>
      <c r="J75" s="6" t="n">
        <v>32</v>
      </c>
      <c r="K75" s="6" t="n">
        <v>43.5</v>
      </c>
      <c r="L75" s="6" t="n">
        <v>37</v>
      </c>
      <c r="M75" s="4" t="n">
        <v>172</v>
      </c>
      <c r="N75" s="4" t="n">
        <v>855</v>
      </c>
      <c r="O75" s="6" t="n">
        <v>14.5</v>
      </c>
      <c r="P75" s="14">
        <f>IF(OR(K75="",M75="",M75=0),"",ROUND(K75/(M75/1000),0))</f>
        <v/>
      </c>
      <c r="Q75" s="15">
        <f>IF(OR(G75="",H75="",H75=0),"",ROUND(G75/H75,0))</f>
        <v/>
      </c>
      <c r="R75" s="16" t="inlineStr">
        <is>
          <t>越野林道 · 长途摩旅</t>
        </is>
      </c>
      <c r="S75" s="16" t="inlineStr">
        <is>
          <t>硬派小ADV · WP减震 · 轻量化</t>
        </is>
      </c>
      <c r="T75" s="16" t="inlineStr">
        <is>
          <t>172kg 轻量化，烂路操控灵活；WP 减震 + 可关闭 ABS，越野取向明确；电控配置在同级中丰富</t>
        </is>
      </c>
      <c r="U75" s="16" t="inlineStr">
        <is>
          <t>座高 855mm 很高，矮个子难骑；单缸长途震动明显</t>
        </is>
      </c>
      <c r="V75" s="16" t="inlineStr">
        <is>
          <t>想玩非铺装、又怕重车的 ADV 入门玩家</t>
        </is>
      </c>
    </row>
    <row r="76">
      <c r="A76" s="11" t="n">
        <v>75</v>
      </c>
      <c r="B76" s="12" t="inlineStr">
        <is>
          <t>本田 Honda</t>
        </is>
      </c>
      <c r="C76" s="12" t="inlineStr">
        <is>
          <t>本田 CB500X</t>
        </is>
      </c>
      <c r="D76" s="12" t="inlineStr">
        <is>
          <t>Honda CB500X</t>
        </is>
      </c>
      <c r="E76" s="13" t="inlineStr">
        <is>
          <t>拉力ADV</t>
        </is>
      </c>
      <c r="F76" s="13" t="inlineStr">
        <is>
          <t>进口</t>
        </is>
      </c>
      <c r="G76" s="5" t="n">
        <v>71800</v>
      </c>
      <c r="H76" s="4" t="n">
        <v>471</v>
      </c>
      <c r="I76" s="12" t="inlineStr">
        <is>
          <t>直列双缸 · 水冷</t>
        </is>
      </c>
      <c r="J76" s="6" t="n">
        <v>35</v>
      </c>
      <c r="K76" s="6" t="n">
        <v>47.6</v>
      </c>
      <c r="L76" s="6" t="n">
        <v>43</v>
      </c>
      <c r="M76" s="4" t="n">
        <v>199</v>
      </c>
      <c r="N76" s="4" t="n">
        <v>830</v>
      </c>
      <c r="O76" s="6" t="n">
        <v>17.7</v>
      </c>
      <c r="P76" s="14">
        <f>IF(OR(K76="",M76="",M76=0),"",ROUND(K76/(M76/1000),0))</f>
        <v/>
      </c>
      <c r="Q76" s="15">
        <f>IF(OR(G76="",H76="",H76=0),"",ROUND(G76/H76,0))</f>
        <v/>
      </c>
      <c r="R76" s="16" t="inlineStr">
        <is>
          <t>长途摩旅 · 通勤代步</t>
        </is>
      </c>
      <c r="S76" s="16" t="inlineStr">
        <is>
          <t>本田品质 · 轻巧 · 保值</t>
        </is>
      </c>
      <c r="T76" s="16" t="inlineStr">
        <is>
          <t>199kg 在中排 ADV 里算轻，好驾驭；本田可靠性口碑极好，适合长途；保值率高，二手流通好</t>
        </is>
      </c>
      <c r="U76" s="16" t="inlineStr">
        <is>
          <t>配置与动力对比国产同级落后一档；价格比国产同级贵 2 万以上</t>
        </is>
      </c>
      <c r="V76" s="16" t="inlineStr">
        <is>
          <t>看重品牌可靠性与保值的稳健摩旅党</t>
        </is>
      </c>
    </row>
    <row r="77">
      <c r="A77" s="11" t="n">
        <v>76</v>
      </c>
      <c r="B77" s="12" t="inlineStr">
        <is>
          <t>铃木 Suzuki</t>
        </is>
      </c>
      <c r="C77" s="12" t="inlineStr">
        <is>
          <t>铃木 V-Strom 650XT</t>
        </is>
      </c>
      <c r="D77" s="12" t="inlineStr">
        <is>
          <t>Suzuki V-Strom 650XT</t>
        </is>
      </c>
      <c r="E77" s="13" t="inlineStr">
        <is>
          <t>拉力ADV</t>
        </is>
      </c>
      <c r="F77" s="13" t="inlineStr">
        <is>
          <t>进口</t>
        </is>
      </c>
      <c r="G77" s="5" t="n">
        <v>89800</v>
      </c>
      <c r="H77" s="4" t="n">
        <v>645</v>
      </c>
      <c r="I77" s="12" t="inlineStr">
        <is>
          <t>V型双缸 · 水冷</t>
        </is>
      </c>
      <c r="J77" s="6" t="n">
        <v>52</v>
      </c>
      <c r="K77" s="6" t="n">
        <v>70.7</v>
      </c>
      <c r="L77" s="6" t="n">
        <v>62</v>
      </c>
      <c r="M77" s="4" t="n">
        <v>216</v>
      </c>
      <c r="N77" s="4" t="n">
        <v>835</v>
      </c>
      <c r="O77" s="6" t="n">
        <v>20</v>
      </c>
      <c r="P77" s="14">
        <f>IF(OR(K77="",M77="",M77=0),"",ROUND(K77/(M77/1000),0))</f>
        <v/>
      </c>
      <c r="Q77" s="15">
        <f>IF(OR(G77="",H77="",H77=0),"",ROUND(G77/H77,0))</f>
        <v/>
      </c>
      <c r="R77" s="16" t="inlineStr">
        <is>
          <t>长途摩旅</t>
        </is>
      </c>
      <c r="S77" s="16" t="inlineStr">
        <is>
          <t>V缸拉力 · 20L油箱 · 耐造</t>
        </is>
      </c>
      <c r="T77" s="16" t="inlineStr">
        <is>
          <t>645cc V 缸 70.7 匹，动力输出顺滑；20L 油箱，长途续航出色；公认的耐久性与可靠性</t>
        </is>
      </c>
      <c r="U77" s="16" t="inlineStr">
        <is>
          <t>价格接近 9 万，配置偏保守；外观多年未大改，吸引力下降</t>
        </is>
      </c>
      <c r="V77" s="16" t="inlineStr">
        <is>
          <t>看重耐久与长途舒适性的成熟摩旅玩家</t>
        </is>
      </c>
    </row>
    <row r="78">
      <c r="A78" s="11" t="n">
        <v>77</v>
      </c>
      <c r="B78" s="12" t="inlineStr">
        <is>
          <t>KTM</t>
        </is>
      </c>
      <c r="C78" s="12" t="inlineStr">
        <is>
          <t>KTM 790 Adventure</t>
        </is>
      </c>
      <c r="D78" s="12" t="inlineStr">
        <is>
          <t>KTM 790 Adventure</t>
        </is>
      </c>
      <c r="E78" s="13" t="inlineStr">
        <is>
          <t>拉力ADV</t>
        </is>
      </c>
      <c r="F78" s="13" t="inlineStr">
        <is>
          <t>进口</t>
        </is>
      </c>
      <c r="G78" s="5" t="n">
        <v>99800</v>
      </c>
      <c r="H78" s="4" t="n">
        <v>799</v>
      </c>
      <c r="I78" s="12" t="inlineStr">
        <is>
          <t>直列双缸 · 水冷</t>
        </is>
      </c>
      <c r="J78" s="6" t="n">
        <v>70</v>
      </c>
      <c r="K78" s="6" t="n">
        <v>95.2</v>
      </c>
      <c r="L78" s="6" t="n">
        <v>88</v>
      </c>
      <c r="M78" s="4" t="n">
        <v>205</v>
      </c>
      <c r="N78" s="4" t="n">
        <v>850</v>
      </c>
      <c r="O78" s="6" t="n">
        <v>20</v>
      </c>
      <c r="P78" s="14">
        <f>IF(OR(K78="",M78="",M78=0),"",ROUND(K78/(M78/1000),0))</f>
        <v/>
      </c>
      <c r="Q78" s="15">
        <f>IF(OR(G78="",H78="",H78=0),"",ROUND(G78/H78,0))</f>
        <v/>
      </c>
      <c r="R78" s="16" t="inlineStr">
        <is>
          <t>越野林道 · 长途摩旅</t>
        </is>
      </c>
      <c r="S78" s="16" t="inlineStr">
        <is>
          <t>95匹 · 205kg · 硬派拉力</t>
        </is>
      </c>
      <c r="T78" s="16" t="inlineStr">
        <is>
          <t>799cc 双缸 95 匹，动力与重量比出色；205kg 在 800 级 ADV 里属轻量，越野能力强；20L 油箱，长途续航好</t>
        </is>
      </c>
      <c r="U78" s="16" t="inlineStr">
        <is>
          <t>价格接近 10 万；座高 850mm，对身高要求高</t>
        </is>
      </c>
      <c r="V78" s="16" t="inlineStr">
        <is>
          <t>有经验、想兼顾长途与硬派越野的进阶玩家</t>
        </is>
      </c>
    </row>
    <row r="79">
      <c r="A79" s="11" t="n">
        <v>78</v>
      </c>
      <c r="B79" s="12" t="inlineStr">
        <is>
          <t>宝马 BMW</t>
        </is>
      </c>
      <c r="C79" s="12" t="inlineStr">
        <is>
          <t>宝马 R1250GS</t>
        </is>
      </c>
      <c r="D79" s="12" t="inlineStr">
        <is>
          <t>BMW R1250GS</t>
        </is>
      </c>
      <c r="E79" s="13" t="inlineStr">
        <is>
          <t>拉力ADV</t>
        </is>
      </c>
      <c r="F79" s="13" t="inlineStr">
        <is>
          <t>进口</t>
        </is>
      </c>
      <c r="G79" s="5" t="n">
        <v>219900</v>
      </c>
      <c r="H79" s="4" t="n">
        <v>1250</v>
      </c>
      <c r="I79" s="12" t="inlineStr">
        <is>
          <t>水平对置双缸 · 水冷</t>
        </is>
      </c>
      <c r="J79" s="6" t="n">
        <v>100</v>
      </c>
      <c r="K79" s="6" t="n">
        <v>136</v>
      </c>
      <c r="L79" s="6" t="n">
        <v>143</v>
      </c>
      <c r="M79" s="4" t="n">
        <v>249</v>
      </c>
      <c r="N79" s="4" t="n">
        <v>850</v>
      </c>
      <c r="O79" s="6" t="n">
        <v>20</v>
      </c>
      <c r="P79" s="14">
        <f>IF(OR(K79="",M79="",M79=0),"",ROUND(K79/(M79/1000),0))</f>
        <v/>
      </c>
      <c r="Q79" s="15">
        <f>IF(OR(G79="",H79="",H79=0),"",ROUND(G79/H79,0))</f>
        <v/>
      </c>
      <c r="R79" s="16" t="inlineStr">
        <is>
          <t>长途摩旅 · 越野林道</t>
        </is>
      </c>
      <c r="S79" s="16" t="inlineStr">
        <is>
          <t>ADV标杆 · 水鸟 · 全能</t>
        </is>
      </c>
      <c r="T79" s="16" t="inlineStr">
        <is>
          <t>动力、舒适性、越野能力全都在第一梯队；品牌与长途摩旅的“信仰”属性强；因新款上市，部分库存价格已明显下探</t>
        </is>
      </c>
      <c r="U79" s="16" t="inlineStr">
        <is>
          <t>价格高，保养与维修成本按豪华品牌算；249kg 车重，新手完全不建议碰；座高 850mm，对身高有要求</t>
        </is>
      </c>
      <c r="V79" s="16" t="inlineStr">
        <is>
          <t>预算充足的资深摩旅玩家</t>
        </is>
      </c>
    </row>
    <row r="80">
      <c r="A80" s="11" t="n">
        <v>79</v>
      </c>
      <c r="B80" s="12" t="inlineStr">
        <is>
          <t>宝马 BMW</t>
        </is>
      </c>
      <c r="C80" s="12" t="inlineStr">
        <is>
          <t>宝马 R1300GS</t>
        </is>
      </c>
      <c r="D80" s="12" t="inlineStr">
        <is>
          <t>BMW R1300GS</t>
        </is>
      </c>
      <c r="E80" s="13" t="inlineStr">
        <is>
          <t>拉力ADV</t>
        </is>
      </c>
      <c r="F80" s="13" t="inlineStr">
        <is>
          <t>进口</t>
        </is>
      </c>
      <c r="G80" s="5" t="n">
        <v>229900</v>
      </c>
      <c r="H80" s="4" t="n">
        <v>1300</v>
      </c>
      <c r="I80" s="12" t="inlineStr">
        <is>
          <t>水平对置双缸 · 水冷</t>
        </is>
      </c>
      <c r="J80" s="6" t="n">
        <v>107</v>
      </c>
      <c r="K80" s="6" t="n">
        <v>145.5</v>
      </c>
      <c r="L80" s="6" t="n">
        <v>149</v>
      </c>
      <c r="M80" s="4" t="n">
        <v>237</v>
      </c>
      <c r="N80" s="4" t="n">
        <v>850</v>
      </c>
      <c r="O80" s="6" t="n">
        <v>19</v>
      </c>
      <c r="P80" s="14">
        <f>IF(OR(K80="",M80="",M80=0),"",ROUND(K80/(M80/1000),0))</f>
        <v/>
      </c>
      <c r="Q80" s="15">
        <f>IF(OR(G80="",H80="",H80=0),"",ROUND(G80/H80,0))</f>
        <v/>
      </c>
      <c r="R80" s="16" t="inlineStr">
        <is>
          <t>长途摩旅 · 越野林道</t>
        </is>
      </c>
      <c r="S80" s="16" t="inlineStr">
        <is>
          <t>ADV天花板 · 145匹 · 全新平台</t>
        </is>
      </c>
      <c r="T80" s="16" t="inlineStr">
        <is>
          <t>1300cc 水平对置 145 匹，ADV 领域性能天花板；整车比上一代更轻，电控系统全面进化；长途舒适性与越野能力兼顾</t>
        </is>
      </c>
      <c r="U80" s="16" t="inlineStr">
        <is>
          <t>价格接近 23 万，落地更高；维护成本按豪华品牌计算</t>
        </is>
      </c>
      <c r="V80" s="16" t="inlineStr">
        <is>
          <t>预算充足的资深摩旅玩家，ADV 玩家的终极目标之一</t>
        </is>
      </c>
    </row>
    <row r="81">
      <c r="A81" s="11" t="n">
        <v>80</v>
      </c>
      <c r="B81" s="12" t="inlineStr">
        <is>
          <t>豪爵 Haojue</t>
        </is>
      </c>
      <c r="C81" s="12" t="inlineStr">
        <is>
          <t>豪爵 AFR125</t>
        </is>
      </c>
      <c r="D81" s="12" t="inlineStr">
        <is>
          <t>Haojue AFR125</t>
        </is>
      </c>
      <c r="E81" s="13" t="inlineStr">
        <is>
          <t>踏板</t>
        </is>
      </c>
      <c r="F81" s="13" t="inlineStr">
        <is>
          <t>国产</t>
        </is>
      </c>
      <c r="G81" s="5" t="n">
        <v>8680</v>
      </c>
      <c r="H81" s="4" t="n">
        <v>125</v>
      </c>
      <c r="I81" s="12" t="inlineStr">
        <is>
          <t>单缸 · 风冷 · ESS</t>
        </is>
      </c>
      <c r="J81" s="6" t="n">
        <v>6.6</v>
      </c>
      <c r="K81" s="6" t="n">
        <v>9</v>
      </c>
      <c r="L81" s="6" t="n">
        <v>10</v>
      </c>
      <c r="M81" s="4" t="n">
        <v>120</v>
      </c>
      <c r="N81" s="4" t="n">
        <v>740</v>
      </c>
      <c r="O81" s="6" t="n">
        <v>6</v>
      </c>
      <c r="P81" s="14">
        <f>IF(OR(K81="",M81="",M81=0),"",ROUND(K81/(M81/1000),0))</f>
        <v/>
      </c>
      <c r="Q81" s="15">
        <f>IF(OR(G81="",H81="",H81=0),"",ROUND(G81/H81,0))</f>
        <v/>
      </c>
      <c r="R81" s="16" t="inlineStr">
        <is>
          <t>通勤代步 · 新手友好</t>
        </is>
      </c>
      <c r="S81" s="16" t="inlineStr">
        <is>
          <t>入门代步 · ESS发动机 · 便宜耐造</t>
        </is>
      </c>
      <c r="T81" s="16" t="inlineStr">
        <is>
          <t>不到 1 万，通勤代步门槛极低；120kg + 740mm 座高，几乎人人能骑；豪爵做工扎实，漆水工艺好</t>
        </is>
      </c>
      <c r="U81" s="16" t="inlineStr">
        <is>
          <t>风冷 125 动力弱，只能市区代步；ABS 需加钱选装</t>
        </is>
      </c>
      <c r="V81" s="16" t="inlineStr">
        <is>
          <t>纯市区短途代步、预算 1 万以内的用户</t>
        </is>
      </c>
    </row>
    <row r="82">
      <c r="A82" s="11" t="n">
        <v>81</v>
      </c>
      <c r="B82" s="12" t="inlineStr">
        <is>
          <t>铃木 Suzuki</t>
        </is>
      </c>
      <c r="C82" s="12" t="inlineStr">
        <is>
          <t>铃木 UY125</t>
        </is>
      </c>
      <c r="D82" s="12" t="inlineStr">
        <is>
          <t>Suzuki UY125</t>
        </is>
      </c>
      <c r="E82" s="13" t="inlineStr">
        <is>
          <t>踏板</t>
        </is>
      </c>
      <c r="F82" s="13" t="inlineStr">
        <is>
          <t>合资</t>
        </is>
      </c>
      <c r="G82" s="5" t="n">
        <v>9980</v>
      </c>
      <c r="H82" s="4" t="n">
        <v>124</v>
      </c>
      <c r="I82" s="12" t="inlineStr">
        <is>
          <t>单缸 · 风冷 · 超级芯</t>
        </is>
      </c>
      <c r="J82" s="6" t="n">
        <v>6.9</v>
      </c>
      <c r="K82" s="6" t="n">
        <v>9.4</v>
      </c>
      <c r="L82" s="6" t="n">
        <v>10</v>
      </c>
      <c r="M82" s="4" t="n">
        <v>112</v>
      </c>
      <c r="N82" s="4" t="n">
        <v>740</v>
      </c>
      <c r="O82" s="6" t="n">
        <v>5.5</v>
      </c>
      <c r="P82" s="14">
        <f>IF(OR(K82="",M82="",M82=0),"",ROUND(K82/(M82/1000),0))</f>
        <v/>
      </c>
      <c r="Q82" s="15">
        <f>IF(OR(G82="",H82="",H82=0),"",ROUND(G82/H82,0))</f>
        <v/>
      </c>
      <c r="R82" s="16" t="inlineStr">
        <is>
          <t>通勤代步 · 新手友好</t>
        </is>
      </c>
      <c r="S82" s="16" t="inlineStr">
        <is>
          <t>国民神车 · 油耗1.8L · 22L座桶</t>
        </is>
      </c>
      <c r="T82" s="16" t="inlineStr">
        <is>
          <t>超级芯发动机故障率极低，油耗约 1.8L；112kg 车身，挪车掉头毫无压力；22L 座桶可放全盔+半盔，配件遍地都是</t>
        </is>
      </c>
      <c r="U82" s="16" t="inlineStr">
        <is>
          <t>外观中庸，毫无个性；刹车偏软，配置基础</t>
        </is>
      </c>
      <c r="V82" s="16" t="inlineStr">
        <is>
          <t>纯代步通勤、外卖骑手、预算 1 万以内的实用派</t>
        </is>
      </c>
    </row>
    <row r="83">
      <c r="A83" s="11" t="n">
        <v>82</v>
      </c>
      <c r="B83" s="12" t="inlineStr">
        <is>
          <t>豪爵 Haojue</t>
        </is>
      </c>
      <c r="C83" s="12" t="inlineStr">
        <is>
          <t>豪爵 UHR150</t>
        </is>
      </c>
      <c r="D83" s="12" t="inlineStr">
        <is>
          <t>Haojue UHR150</t>
        </is>
      </c>
      <c r="E83" s="13" t="inlineStr">
        <is>
          <t>踏板</t>
        </is>
      </c>
      <c r="F83" s="13" t="inlineStr">
        <is>
          <t>国产</t>
        </is>
      </c>
      <c r="G83" s="5" t="n">
        <v>13380</v>
      </c>
      <c r="H83" s="4" t="n">
        <v>150</v>
      </c>
      <c r="I83" s="12" t="inlineStr">
        <is>
          <t>单缸 · 水冷</t>
        </is>
      </c>
      <c r="J83" s="6" t="n">
        <v>10.4</v>
      </c>
      <c r="K83" s="6" t="n">
        <v>14.1</v>
      </c>
      <c r="L83" s="6" t="n">
        <v>14</v>
      </c>
      <c r="M83" s="4" t="n">
        <v>148</v>
      </c>
      <c r="N83" s="4" t="n">
        <v>765</v>
      </c>
      <c r="O83" s="6" t="n">
        <v>8</v>
      </c>
      <c r="P83" s="14">
        <f>IF(OR(K83="",M83="",M83=0),"",ROUND(K83/(M83/1000),0))</f>
        <v/>
      </c>
      <c r="Q83" s="15">
        <f>IF(OR(G83="",H83="",H83=0),"",ROUND(G83/H83,0))</f>
        <v/>
      </c>
      <c r="R83" s="16" t="inlineStr">
        <is>
          <t>通勤代步 · 新手友好</t>
        </is>
      </c>
      <c r="S83" s="16" t="inlineStr">
        <is>
          <t>国产通勤标杆 · 双通道ABS · 省油</t>
        </is>
      </c>
      <c r="T83" s="16" t="inlineStr">
        <is>
          <t>品质在同价位国产里属第一梯队；百公里约 2.2–2.4L，一箱油通勤一整周；标配双通道 ABS、无钥匙启动、LED 大灯</t>
        </is>
      </c>
      <c r="U83" s="16" t="inlineStr">
        <is>
          <t>外观设计偏保守，缺少个性；8L 油箱，长途续航一般</t>
        </is>
      </c>
      <c r="V83" s="16" t="inlineStr">
        <is>
          <t>纯通勤代步、追求省心省油的大多数人</t>
        </is>
      </c>
    </row>
    <row r="84">
      <c r="A84" s="11" t="n">
        <v>83</v>
      </c>
      <c r="B84" s="12" t="inlineStr">
        <is>
          <t>三阳 SYM</t>
        </is>
      </c>
      <c r="C84" s="12" t="inlineStr">
        <is>
          <t>三阳 巡弋150</t>
        </is>
      </c>
      <c r="D84" s="12" t="inlineStr">
        <is>
          <t>SYM Cruisym 150</t>
        </is>
      </c>
      <c r="E84" s="13" t="inlineStr">
        <is>
          <t>踏板</t>
        </is>
      </c>
      <c r="F84" s="13" t="inlineStr">
        <is>
          <t>合资</t>
        </is>
      </c>
      <c r="G84" s="5" t="n">
        <v>13380</v>
      </c>
      <c r="H84" s="4" t="n">
        <v>150</v>
      </c>
      <c r="I84" s="12" t="inlineStr">
        <is>
          <t>单缸 · 水冷</t>
        </is>
      </c>
      <c r="J84" s="6" t="n">
        <v>10.8</v>
      </c>
      <c r="K84" s="6" t="n">
        <v>14.7</v>
      </c>
      <c r="L84" s="6" t="n">
        <v>13.5</v>
      </c>
      <c r="M84" s="4" t="n">
        <v>145</v>
      </c>
      <c r="N84" s="4" t="n">
        <v>780</v>
      </c>
      <c r="O84" s="6" t="n">
        <v>12</v>
      </c>
      <c r="P84" s="14">
        <f>IF(OR(K84="",M84="",M84=0),"",ROUND(K84/(M84/1000),0))</f>
        <v/>
      </c>
      <c r="Q84" s="15">
        <f>IF(OR(G84="",H84="",H84=0),"",ROUND(G84/H84,0))</f>
        <v/>
      </c>
      <c r="R84" s="16" t="inlineStr">
        <is>
          <t>通勤代步 · 新手友好</t>
        </is>
      </c>
      <c r="S84" s="16" t="inlineStr">
        <is>
          <t>合资150 · 12L大油箱 · 运动外观</t>
        </is>
      </c>
      <c r="T84" s="16" t="inlineStr">
        <is>
          <t>合资品牌，三阳品控稳定；12L 大油箱，续航在同级里突出；外观偏运动，年轻人接受度高</t>
        </is>
      </c>
      <c r="U84" s="16" t="inlineStr">
        <is>
          <t>座高 780mm，在踏板里偏高；储物空间一般</t>
        </is>
      </c>
      <c r="V84" s="16" t="inlineStr">
        <is>
          <t>预算 1.3 万出头、想要合资 150 踏板通勤的用户</t>
        </is>
      </c>
    </row>
    <row r="85">
      <c r="A85" s="11" t="n">
        <v>84</v>
      </c>
      <c r="B85" s="12" t="inlineStr">
        <is>
          <t>豪爵 Haojue</t>
        </is>
      </c>
      <c r="C85" s="12" t="inlineStr">
        <is>
          <t>豪爵 UFR150</t>
        </is>
      </c>
      <c r="D85" s="12" t="inlineStr">
        <is>
          <t>Haojue UFR150</t>
        </is>
      </c>
      <c r="E85" s="13" t="inlineStr">
        <is>
          <t>踏板</t>
        </is>
      </c>
      <c r="F85" s="13" t="inlineStr">
        <is>
          <t>国产</t>
        </is>
      </c>
      <c r="G85" s="5" t="n">
        <v>14980</v>
      </c>
      <c r="H85" s="4" t="n">
        <v>149</v>
      </c>
      <c r="I85" s="12" t="inlineStr">
        <is>
          <t>单缸 · 水冷</t>
        </is>
      </c>
      <c r="J85" s="6" t="n">
        <v>11</v>
      </c>
      <c r="K85" s="6" t="n">
        <v>15</v>
      </c>
      <c r="L85" s="6" t="n">
        <v>14</v>
      </c>
      <c r="M85" s="4" t="n">
        <v>150</v>
      </c>
      <c r="N85" s="4" t="n">
        <v>765</v>
      </c>
      <c r="O85" s="6" t="n">
        <v>8</v>
      </c>
      <c r="P85" s="14">
        <f>IF(OR(K85="",M85="",M85=0),"",ROUND(K85/(M85/1000),0))</f>
        <v/>
      </c>
      <c r="Q85" s="15">
        <f>IF(OR(G85="",H85="",H85=0),"",ROUND(G85/H85,0))</f>
        <v/>
      </c>
      <c r="R85" s="16" t="inlineStr">
        <is>
          <t>通勤代步 · 新手友好</t>
        </is>
      </c>
      <c r="S85" s="16" t="inlineStr">
        <is>
          <t>豪爵品控 · 水冷150 · 配置齐全</t>
        </is>
      </c>
      <c r="T85" s="16" t="inlineStr">
        <is>
          <t>豪爵品控在国产里是第一梯队；11kW 动力在同级 150 里偏强；标配 ABS + TCS，安全配置到位</t>
        </is>
      </c>
      <c r="U85" s="16" t="inlineStr">
        <is>
          <t>价格比同级国产略高；外观设计偏保守</t>
        </is>
      </c>
      <c r="V85" s="16" t="inlineStr">
        <is>
          <t>通勤为主、看重品质与安全的 150 踏板买家</t>
        </is>
      </c>
    </row>
    <row r="86">
      <c r="A86" s="11" t="n">
        <v>85</v>
      </c>
      <c r="B86" s="12" t="inlineStr">
        <is>
          <t>三阳 SYM</t>
        </is>
      </c>
      <c r="C86" s="12" t="inlineStr">
        <is>
          <t>三阳 DRG158</t>
        </is>
      </c>
      <c r="D86" s="12" t="inlineStr">
        <is>
          <t>SYM DRG 158</t>
        </is>
      </c>
      <c r="E86" s="13" t="inlineStr">
        <is>
          <t>踏板</t>
        </is>
      </c>
      <c r="F86" s="13" t="inlineStr">
        <is>
          <t>合资</t>
        </is>
      </c>
      <c r="G86" s="5" t="n">
        <v>15980</v>
      </c>
      <c r="H86" s="4" t="n">
        <v>158</v>
      </c>
      <c r="I86" s="12" t="inlineStr">
        <is>
          <t>单缸 · 水冷</t>
        </is>
      </c>
      <c r="J86" s="6" t="n">
        <v>10.5</v>
      </c>
      <c r="K86" s="6" t="n">
        <v>14.3</v>
      </c>
      <c r="L86" s="6" t="n">
        <v>13.5</v>
      </c>
      <c r="M86" s="4" t="n">
        <v>135</v>
      </c>
      <c r="N86" s="4" t="n">
        <v>790</v>
      </c>
      <c r="O86" s="6" t="n">
        <v>7.5</v>
      </c>
      <c r="P86" s="14">
        <f>IF(OR(K86="",M86="",M86=0),"",ROUND(K86/(M86/1000),0))</f>
        <v/>
      </c>
      <c r="Q86" s="15">
        <f>IF(OR(G86="",H86="",H86=0),"",ROUND(G86/H86,0))</f>
        <v/>
      </c>
      <c r="R86" s="16" t="inlineStr">
        <is>
          <t>通勤代步 · 玩乐跑山</t>
        </is>
      </c>
      <c r="S86" s="16" t="inlineStr">
        <is>
          <t>运动踏板 · 龙骨车架 · 操控好</t>
        </is>
      </c>
      <c r="T86" s="16" t="inlineStr">
        <is>
          <t>龙骨车架 + 前后 13/14 寸轮，弯道倾角大；135kg 车轻，市区穿行极其灵活；三阳品控稳定，改装件丰富</t>
        </is>
      </c>
      <c r="U86" s="16" t="inlineStr">
        <is>
          <t>座桶只能放 3/4 盔，储物偏小；座高 790mm，在踏板里偏高</t>
        </is>
      </c>
      <c r="V86" s="16" t="inlineStr">
        <is>
          <t>追求驾驶乐趣与运动风格的通勤党</t>
        </is>
      </c>
    </row>
    <row r="87">
      <c r="A87" s="11" t="n">
        <v>86</v>
      </c>
      <c r="B87" s="12" t="inlineStr">
        <is>
          <t>无极 VOGE</t>
        </is>
      </c>
      <c r="C87" s="12" t="inlineStr">
        <is>
          <t>无极 SR250GT</t>
        </is>
      </c>
      <c r="D87" s="12" t="inlineStr">
        <is>
          <t>VOGE SR250GT</t>
        </is>
      </c>
      <c r="E87" s="13" t="inlineStr">
        <is>
          <t>踏板</t>
        </is>
      </c>
      <c r="F87" s="13" t="inlineStr">
        <is>
          <t>国产</t>
        </is>
      </c>
      <c r="G87" s="5" t="n">
        <v>15980</v>
      </c>
      <c r="H87" s="4" t="n">
        <v>244</v>
      </c>
      <c r="I87" s="12" t="inlineStr">
        <is>
          <t>单缸 · 水冷</t>
        </is>
      </c>
      <c r="J87" s="6" t="n">
        <v>19</v>
      </c>
      <c r="K87" s="6" t="n">
        <v>25.8</v>
      </c>
      <c r="L87" s="6" t="n">
        <v>23</v>
      </c>
      <c r="M87" s="4" t="n">
        <v>165</v>
      </c>
      <c r="N87" s="4" t="n">
        <v>770</v>
      </c>
      <c r="O87" s="6" t="n">
        <v>14</v>
      </c>
      <c r="P87" s="14">
        <f>IF(OR(K87="",M87="",M87=0),"",ROUND(K87/(M87/1000),0))</f>
        <v/>
      </c>
      <c r="Q87" s="15">
        <f>IF(OR(G87="",H87="",H87=0),"",ROUND(G87/H87,0))</f>
        <v/>
      </c>
      <c r="R87" s="16" t="inlineStr">
        <is>
          <t>通勤代步 · 长途摩旅</t>
        </is>
      </c>
      <c r="S87" s="16" t="inlineStr">
        <is>
          <t>250级销量王 · 25.8匹 · 34L座桶</t>
        </is>
      </c>
      <c r="T87" s="16" t="inlineStr">
        <is>
          <t>244cc 水冷 25.8 匹，动力堪比 5 万级进口 300；165kg + 770mm 座高，好骑好撑；34L 座桶可放全盔 + 半盔，储物同级第一</t>
        </is>
      </c>
      <c r="U87" s="16" t="inlineStr">
        <is>
          <t>后减震偏硬，过减速带体验一般；PLAY 版仪表强光下可读性一般</t>
        </is>
      </c>
      <c r="V87" s="16" t="inlineStr">
        <is>
          <t>想要 250 级动力与储物、预算 1.6 万的通勤+小长途用户</t>
        </is>
      </c>
    </row>
    <row r="88">
      <c r="A88" s="11" t="n">
        <v>87</v>
      </c>
      <c r="B88" s="12" t="inlineStr">
        <is>
          <t>赛科龙 SDR</t>
        </is>
      </c>
      <c r="C88" s="12" t="inlineStr">
        <is>
          <t>赛科龙 RT2</t>
        </is>
      </c>
      <c r="D88" s="12" t="inlineStr">
        <is>
          <t>SDR RT2</t>
        </is>
      </c>
      <c r="E88" s="13" t="inlineStr">
        <is>
          <t>踏板</t>
        </is>
      </c>
      <c r="F88" s="13" t="inlineStr">
        <is>
          <t>国产</t>
        </is>
      </c>
      <c r="G88" s="5" t="n">
        <v>16980</v>
      </c>
      <c r="H88" s="4" t="n">
        <v>247</v>
      </c>
      <c r="I88" s="12" t="inlineStr">
        <is>
          <t>单缸 · 水冷</t>
        </is>
      </c>
      <c r="J88" s="6" t="n">
        <v>17</v>
      </c>
      <c r="K88" s="6" t="n">
        <v>23</v>
      </c>
      <c r="L88" s="6" t="n">
        <v>22.5</v>
      </c>
      <c r="M88" s="4" t="n">
        <v>187</v>
      </c>
      <c r="N88" s="4" t="n">
        <v>790</v>
      </c>
      <c r="O88" s="6" t="n">
        <v>12</v>
      </c>
      <c r="P88" s="14">
        <f>IF(OR(K88="",M88="",M88=0),"",ROUND(K88/(M88/1000),0))</f>
        <v/>
      </c>
      <c r="Q88" s="15">
        <f>IF(OR(G88="",H88="",H88=0),"",ROUND(G88/H88,0))</f>
        <v/>
      </c>
      <c r="R88" s="16" t="inlineStr">
        <is>
          <t>通勤代步 · 长途摩旅</t>
        </is>
      </c>
      <c r="S88" s="16" t="inlineStr">
        <is>
          <t>250踏板 · 配置丰富 · 性价比</t>
        </is>
      </c>
      <c r="T88" s="16" t="inlineStr">
        <is>
          <t>250cc 动力，日常与短途都够用；TFT 仪表、ABS+TCS 配置较全；价格在 250 级里偏亲民</t>
        </is>
      </c>
      <c r="U88" s="16" t="inlineStr">
        <is>
          <t>座高 790mm，在踏板里偏高；品牌售后网点不如豪爵/本田</t>
        </is>
      </c>
      <c r="V88" s="16" t="inlineStr">
        <is>
          <t>预算 1.7 万左右、想要 250 级踏板的通勤用户</t>
        </is>
      </c>
    </row>
    <row r="89">
      <c r="A89" s="11" t="n">
        <v>88</v>
      </c>
      <c r="B89" s="12" t="inlineStr">
        <is>
          <t>标致 Peugeot</t>
        </is>
      </c>
      <c r="C89" s="12" t="inlineStr">
        <is>
          <t>标致 姜戈150</t>
        </is>
      </c>
      <c r="D89" s="12" t="inlineStr">
        <is>
          <t>Peugeot Django 150</t>
        </is>
      </c>
      <c r="E89" s="13" t="inlineStr">
        <is>
          <t>踏板</t>
        </is>
      </c>
      <c r="F89" s="13" t="inlineStr">
        <is>
          <t>合资</t>
        </is>
      </c>
      <c r="G89" s="5" t="n">
        <v>16980</v>
      </c>
      <c r="H89" s="4" t="n">
        <v>150</v>
      </c>
      <c r="I89" s="12" t="inlineStr">
        <is>
          <t>单缸 · 水冷</t>
        </is>
      </c>
      <c r="J89" s="6" t="n">
        <v>9.300000000000001</v>
      </c>
      <c r="K89" s="6" t="n">
        <v>12.6</v>
      </c>
      <c r="L89" s="6" t="n">
        <v>12.5</v>
      </c>
      <c r="M89" s="4" t="n">
        <v>135</v>
      </c>
      <c r="N89" s="4" t="n">
        <v>780</v>
      </c>
      <c r="O89" s="6" t="n">
        <v>8.5</v>
      </c>
      <c r="P89" s="14">
        <f>IF(OR(K89="",M89="",M89=0),"",ROUND(K89/(M89/1000),0))</f>
        <v/>
      </c>
      <c r="Q89" s="15">
        <f>IF(OR(G89="",H89="",H89=0),"",ROUND(G89/H89,0))</f>
        <v/>
      </c>
      <c r="R89" s="16" t="inlineStr">
        <is>
          <t>通勤代步 · 城市巡航</t>
        </is>
      </c>
      <c r="S89" s="16" t="inlineStr">
        <is>
          <t>法式复古 · 经典造型 · 性价比</t>
        </is>
      </c>
      <c r="T89" s="16" t="inlineStr">
        <is>
          <t>法式复古造型，颜值在国产踏板里突出；135kg 车轻，城市代步灵活；价格不到 1.7 万</t>
        </is>
      </c>
      <c r="U89" s="16" t="inlineStr">
        <is>
          <t>动力偏弱，9.3kW 只能代步；配置基础</t>
        </is>
      </c>
      <c r="V89" s="16" t="inlineStr">
        <is>
          <t>喜欢复古造型、城市短途代步的用户</t>
        </is>
      </c>
    </row>
    <row r="90">
      <c r="A90" s="11" t="n">
        <v>89</v>
      </c>
      <c r="B90" s="12" t="inlineStr">
        <is>
          <t>赛科龙 SDR</t>
        </is>
      </c>
      <c r="C90" s="12" t="inlineStr">
        <is>
          <t>赛科龙 RT3</t>
        </is>
      </c>
      <c r="D90" s="12" t="inlineStr">
        <is>
          <t>SDR RT3</t>
        </is>
      </c>
      <c r="E90" s="13" t="inlineStr">
        <is>
          <t>踏板</t>
        </is>
      </c>
      <c r="F90" s="13" t="inlineStr">
        <is>
          <t>国产</t>
        </is>
      </c>
      <c r="G90" s="5" t="n">
        <v>18999</v>
      </c>
      <c r="H90" s="4" t="n">
        <v>247</v>
      </c>
      <c r="I90" s="12" t="inlineStr">
        <is>
          <t>单缸 · 水冷</t>
        </is>
      </c>
      <c r="J90" s="6" t="n">
        <v>17.5</v>
      </c>
      <c r="K90" s="6" t="n">
        <v>23.8</v>
      </c>
      <c r="L90" s="6" t="n">
        <v>22.5</v>
      </c>
      <c r="M90" s="4" t="n">
        <v>199</v>
      </c>
      <c r="N90" s="4" t="n">
        <v>755</v>
      </c>
      <c r="O90" s="6" t="n">
        <v>12.7</v>
      </c>
      <c r="P90" s="14">
        <f>IF(OR(K90="",M90="",M90=0),"",ROUND(K90/(M90/1000),0))</f>
        <v/>
      </c>
      <c r="Q90" s="15">
        <f>IF(OR(G90="",H90="",H90=0),"",ROUND(G90/H90,0))</f>
        <v/>
      </c>
      <c r="R90" s="16" t="inlineStr">
        <is>
          <t>通勤代步 · 长途摩旅</t>
        </is>
      </c>
      <c r="S90" s="16" t="inlineStr">
        <is>
          <t>250级踏板 · 毫米波雷达 · 配置越级</t>
        </is>
      </c>
      <c r="T90" s="16" t="inlineStr">
        <is>
          <t>2025 款配备毫米波雷达，支持盲区监测；TFT 投屏、胎压监测、博世 ABS+TCS 全系标配；199kg 大车身，高速巡航很稳</t>
        </is>
      </c>
      <c r="U90" s="16" t="inlineStr">
        <is>
          <t>油耗偏高，保值率一般；品牌售后网点不如豪爵/本田</t>
        </is>
      </c>
      <c r="V90" s="16" t="inlineStr">
        <is>
          <t>想要 250 级踏板、注重配置与舒适性的通勤+小长途用户</t>
        </is>
      </c>
    </row>
    <row r="91">
      <c r="A91" s="11" t="n">
        <v>90</v>
      </c>
      <c r="B91" s="12" t="inlineStr">
        <is>
          <t>本田 Honda</t>
        </is>
      </c>
      <c r="C91" s="12" t="inlineStr">
        <is>
          <t>本田 PCX160</t>
        </is>
      </c>
      <c r="D91" s="12" t="inlineStr">
        <is>
          <t>Honda PCX160</t>
        </is>
      </c>
      <c r="E91" s="13" t="inlineStr">
        <is>
          <t>踏板</t>
        </is>
      </c>
      <c r="F91" s="13" t="inlineStr">
        <is>
          <t>合资</t>
        </is>
      </c>
      <c r="G91" s="5" t="n">
        <v>19990</v>
      </c>
      <c r="H91" s="4" t="n">
        <v>157</v>
      </c>
      <c r="I91" s="12" t="inlineStr">
        <is>
          <t>单缸 · 水冷 · eSP+</t>
        </is>
      </c>
      <c r="J91" s="6" t="n">
        <v>11.8</v>
      </c>
      <c r="K91" s="6" t="n">
        <v>16</v>
      </c>
      <c r="L91" s="6" t="n">
        <v>14.7</v>
      </c>
      <c r="M91" s="4" t="n">
        <v>132</v>
      </c>
      <c r="N91" s="4" t="n">
        <v>761</v>
      </c>
      <c r="O91" s="6" t="n">
        <v>8.199999999999999</v>
      </c>
      <c r="P91" s="14">
        <f>IF(OR(K91="",M91="",M91=0),"",ROUND(K91/(M91/1000),0))</f>
        <v/>
      </c>
      <c r="Q91" s="15">
        <f>IF(OR(G91="",H91="",H91=0),"",ROUND(G91/H91,0))</f>
        <v/>
      </c>
      <c r="R91" s="16" t="inlineStr">
        <is>
          <t>通勤代步 · 新手友好</t>
        </is>
      </c>
      <c r="S91" s="16" t="inlineStr">
        <is>
          <t>舒适通勤 · 省油 · 30L大座桶</t>
        </is>
      </c>
      <c r="T91" s="16" t="inlineStr">
        <is>
          <t>百公里油耗约 2.0L，续航轻松 350km+；30L 座桶可放全盔 + 随身物品；怠速启停 + 静音启动，通勤体验极佳</t>
        </is>
      </c>
      <c r="U91" s="16" t="inlineStr">
        <is>
          <t>仅前轮单通道 ABS，雨天需谨慎；国产后价格仍不算便宜</t>
        </is>
      </c>
      <c r="V91" s="16" t="inlineStr">
        <is>
          <t>以通勤代步为主、看重实用与品质的用户</t>
        </is>
      </c>
    </row>
    <row r="92">
      <c r="A92" s="11" t="n">
        <v>91</v>
      </c>
      <c r="B92" s="12" t="inlineStr">
        <is>
          <t>光阳 KYMCO</t>
        </is>
      </c>
      <c r="C92" s="12" t="inlineStr">
        <is>
          <t>光阳 赛艇250</t>
        </is>
      </c>
      <c r="D92" s="12" t="inlineStr">
        <is>
          <t>KYMCO Xciting 250</t>
        </is>
      </c>
      <c r="E92" s="13" t="inlineStr">
        <is>
          <t>踏板</t>
        </is>
      </c>
      <c r="F92" s="13" t="inlineStr">
        <is>
          <t>合资</t>
        </is>
      </c>
      <c r="G92" s="5" t="n">
        <v>21770</v>
      </c>
      <c r="H92" s="4" t="n">
        <v>250</v>
      </c>
      <c r="I92" s="12" t="inlineStr">
        <is>
          <t>单缸 · 水冷</t>
        </is>
      </c>
      <c r="J92" s="6" t="n">
        <v>16</v>
      </c>
      <c r="K92" s="6" t="n">
        <v>21.8</v>
      </c>
      <c r="L92" s="6" t="n">
        <v>22</v>
      </c>
      <c r="M92" s="4" t="n">
        <v>199</v>
      </c>
      <c r="N92" s="4" t="n">
        <v>780</v>
      </c>
      <c r="O92" s="6" t="n">
        <v>13</v>
      </c>
      <c r="P92" s="14">
        <f>IF(OR(K92="",M92="",M92=0),"",ROUND(K92/(M92/1000),0))</f>
        <v/>
      </c>
      <c r="Q92" s="15">
        <f>IF(OR(G92="",H92="",H92=0),"",ROUND(G92/H92,0))</f>
        <v/>
      </c>
      <c r="R92" s="16" t="inlineStr">
        <is>
          <t>通勤代步 · 长途摩旅</t>
        </is>
      </c>
      <c r="S92" s="16" t="inlineStr">
        <is>
          <t>长途大踏板 · 龙骨车架 · 舒适</t>
        </is>
      </c>
      <c r="T92" s="16" t="inlineStr">
        <is>
          <t>龙骨车架刚性好，高速稳定；座垫与减震偏舒适，长途友好；光阳在大踏板领域积累深厚</t>
        </is>
      </c>
      <c r="U92" s="16" t="inlineStr">
        <is>
          <t>车重 199kg，城市灵活性一般；外观偏成熟稳重</t>
        </is>
      </c>
      <c r="V92" s="16" t="inlineStr">
        <is>
          <t>以中长途通勤与周末出行为主的大踏板用户</t>
        </is>
      </c>
    </row>
    <row r="93">
      <c r="A93" s="11" t="n">
        <v>92</v>
      </c>
      <c r="B93" s="12" t="inlineStr">
        <is>
          <t>光阳 KYMCO</t>
        </is>
      </c>
      <c r="C93" s="12" t="inlineStr">
        <is>
          <t>光阳 CT250</t>
        </is>
      </c>
      <c r="D93" s="12" t="inlineStr">
        <is>
          <t>KYMCO CT250</t>
        </is>
      </c>
      <c r="E93" s="13" t="inlineStr">
        <is>
          <t>踏板</t>
        </is>
      </c>
      <c r="F93" s="13" t="inlineStr">
        <is>
          <t>合资</t>
        </is>
      </c>
      <c r="G93" s="5" t="n">
        <v>21990</v>
      </c>
      <c r="H93" s="4" t="n">
        <v>249</v>
      </c>
      <c r="I93" s="12" t="inlineStr">
        <is>
          <t>单缸 · 水冷</t>
        </is>
      </c>
      <c r="J93" s="6" t="n">
        <v>16</v>
      </c>
      <c r="K93" s="6" t="n">
        <v>21.8</v>
      </c>
      <c r="L93" s="6" t="n">
        <v>22</v>
      </c>
      <c r="M93" s="4" t="n">
        <v>199</v>
      </c>
      <c r="N93" s="4" t="n">
        <v>780</v>
      </c>
      <c r="O93" s="6" t="n">
        <v>13</v>
      </c>
      <c r="P93" s="14">
        <f>IF(OR(K93="",M93="",M93=0),"",ROUND(K93/(M93/1000),0))</f>
        <v/>
      </c>
      <c r="Q93" s="15">
        <f>IF(OR(G93="",H93="",H93=0),"",ROUND(G93/H93,0))</f>
        <v/>
      </c>
      <c r="R93" s="16" t="inlineStr">
        <is>
          <t>通勤代步 · 长途摩旅</t>
        </is>
      </c>
      <c r="S93" s="16" t="inlineStr">
        <is>
          <t>250大踏板 · 13L油箱 · 长途舒适</t>
        </is>
      </c>
      <c r="T93" s="16" t="inlineStr">
        <is>
          <t>250cc + 13L 油箱，续航可达 400km；大踏板车身，高速巡航稳；座桶空间大，实用性强</t>
        </is>
      </c>
      <c r="U93" s="16" t="inlineStr">
        <is>
          <t>199kg 车重，低速掉头费力；油耗约 3.2L，通勤成本不低</t>
        </is>
      </c>
      <c r="V93" s="16" t="inlineStr">
        <is>
          <t>需要大踏板长途能力、预算 2.2 万左右的用户</t>
        </is>
      </c>
    </row>
    <row r="94">
      <c r="A94" s="11" t="n">
        <v>93</v>
      </c>
      <c r="B94" s="12" t="inlineStr">
        <is>
          <t>雅马哈 Yamaha</t>
        </is>
      </c>
      <c r="C94" s="12" t="inlineStr">
        <is>
          <t>雅马哈 Aerox 155</t>
        </is>
      </c>
      <c r="D94" s="12" t="inlineStr">
        <is>
          <t>Yamaha Aerox 155</t>
        </is>
      </c>
      <c r="E94" s="13" t="inlineStr">
        <is>
          <t>踏板</t>
        </is>
      </c>
      <c r="F94" s="13" t="inlineStr">
        <is>
          <t>进口</t>
        </is>
      </c>
      <c r="G94" s="5" t="n">
        <v>23800</v>
      </c>
      <c r="H94" s="4" t="n">
        <v>155</v>
      </c>
      <c r="I94" s="12" t="inlineStr">
        <is>
          <t>单缸 · 水冷 · VVA</t>
        </is>
      </c>
      <c r="J94" s="6" t="n">
        <v>11.3</v>
      </c>
      <c r="K94" s="6" t="n">
        <v>15.4</v>
      </c>
      <c r="L94" s="6" t="n">
        <v>13.9</v>
      </c>
      <c r="M94" s="4" t="n">
        <v>126</v>
      </c>
      <c r="N94" s="4" t="n">
        <v>790</v>
      </c>
      <c r="O94" s="6" t="n">
        <v>5.5</v>
      </c>
      <c r="P94" s="14">
        <f>IF(OR(K94="",M94="",M94=0),"",ROUND(K94/(M94/1000),0))</f>
        <v/>
      </c>
      <c r="Q94" s="15">
        <f>IF(OR(G94="",H94="",H94=0),"",ROUND(G94/H94,0))</f>
        <v/>
      </c>
      <c r="R94" s="16" t="inlineStr">
        <is>
          <t>玩乐跑山 · 通勤代步</t>
        </is>
      </c>
      <c r="S94" s="16" t="inlineStr">
        <is>
          <t>运动踏板 · 126kg · VVA</t>
        </is>
      </c>
      <c r="T94" s="16" t="inlineStr">
        <is>
          <t>126kg 车重，运动踏板的操控标杆；VVA 可变气门，动力输出活跃；外观激进，年轻人喜欢</t>
        </is>
      </c>
      <c r="U94" s="16" t="inlineStr">
        <is>
          <t>油箱仅 5.5L，续航偏短；座高 790mm，储物空间小</t>
        </is>
      </c>
      <c r="V94" s="16" t="inlineStr">
        <is>
          <t>追求运动操控与激进外观的城市玩家</t>
        </is>
      </c>
    </row>
    <row r="95">
      <c r="A95" s="11" t="n">
        <v>94</v>
      </c>
      <c r="B95" s="12" t="inlineStr">
        <is>
          <t>雅马哈 Yamaha</t>
        </is>
      </c>
      <c r="C95" s="12" t="inlineStr">
        <is>
          <t>雅马哈 NMAX155</t>
        </is>
      </c>
      <c r="D95" s="12" t="inlineStr">
        <is>
          <t>Yamaha NMAX 155</t>
        </is>
      </c>
      <c r="E95" s="13" t="inlineStr">
        <is>
          <t>踏板</t>
        </is>
      </c>
      <c r="F95" s="13" t="inlineStr">
        <is>
          <t>进口</t>
        </is>
      </c>
      <c r="G95" s="5" t="n">
        <v>27800</v>
      </c>
      <c r="H95" s="4" t="n">
        <v>155</v>
      </c>
      <c r="I95" s="12" t="inlineStr">
        <is>
          <t>单缸 · 水冷 · VVA</t>
        </is>
      </c>
      <c r="J95" s="6" t="n">
        <v>11.3</v>
      </c>
      <c r="K95" s="6" t="n">
        <v>15.4</v>
      </c>
      <c r="L95" s="6" t="n">
        <v>14</v>
      </c>
      <c r="M95" s="4" t="n">
        <v>131</v>
      </c>
      <c r="N95" s="4" t="n">
        <v>765</v>
      </c>
      <c r="O95" s="6" t="n">
        <v>7.1</v>
      </c>
      <c r="P95" s="14">
        <f>IF(OR(K95="",M95="",M95=0),"",ROUND(K95/(M95/1000),0))</f>
        <v/>
      </c>
      <c r="Q95" s="15">
        <f>IF(OR(G95="",H95="",H95=0),"",ROUND(G95/H95,0))</f>
        <v/>
      </c>
      <c r="R95" s="16" t="inlineStr">
        <is>
          <t>通勤代步 · 新手友好</t>
        </is>
      </c>
      <c r="S95" s="16" t="inlineStr">
        <is>
          <t>进口通勤王 · VVA · 保值</t>
        </is>
      </c>
      <c r="T95" s="16" t="inlineStr">
        <is>
          <t>蓝芯 VVA 发动机，动力顺滑省油；油耗约 2.1–2.3L，通勤成本极低；进口身份，保值率与品质口碑都很好</t>
        </is>
      </c>
      <c r="U95" s="16" t="inlineStr">
        <is>
          <t>价格比国产同级贵近一倍；热门配色等车周期长；保养按进口标准</t>
        </is>
      </c>
      <c r="V95" s="16" t="inlineStr">
        <is>
          <t>预算充足、注重品质与保值的通勤一族</t>
        </is>
      </c>
    </row>
    <row r="96">
      <c r="A96" s="11" t="n">
        <v>95</v>
      </c>
      <c r="B96" s="12" t="inlineStr">
        <is>
          <t>无极 VOGE</t>
        </is>
      </c>
      <c r="C96" s="12" t="inlineStr">
        <is>
          <t>无极 SR4 Max</t>
        </is>
      </c>
      <c r="D96" s="12" t="inlineStr">
        <is>
          <t>VOGE SR4 Max</t>
        </is>
      </c>
      <c r="E96" s="13" t="inlineStr">
        <is>
          <t>踏板</t>
        </is>
      </c>
      <c r="F96" s="13" t="inlineStr">
        <is>
          <t>国产</t>
        </is>
      </c>
      <c r="G96" s="5" t="n">
        <v>29999</v>
      </c>
      <c r="H96" s="4" t="n">
        <v>350</v>
      </c>
      <c r="I96" s="12" t="inlineStr">
        <is>
          <t>单缸 · 水冷（宝马 C400 同源）</t>
        </is>
      </c>
      <c r="J96" s="6" t="n">
        <v>25</v>
      </c>
      <c r="K96" s="6" t="n">
        <v>34</v>
      </c>
      <c r="L96" s="6" t="n">
        <v>35</v>
      </c>
      <c r="M96" s="4" t="n">
        <v>208</v>
      </c>
      <c r="N96" s="4" t="n">
        <v>760</v>
      </c>
      <c r="O96" s="6" t="n">
        <v>12.5</v>
      </c>
      <c r="P96" s="14">
        <f>IF(OR(K96="",M96="",M96=0),"",ROUND(K96/(M96/1000),0))</f>
        <v/>
      </c>
      <c r="Q96" s="15">
        <f>IF(OR(G96="",H96="",H96=0),"",ROUND(G96/H96,0))</f>
        <v/>
      </c>
      <c r="R96" s="16" t="inlineStr">
        <is>
          <t>通勤代步 · 长途摩旅</t>
        </is>
      </c>
      <c r="S96" s="16" t="inlineStr">
        <is>
          <t>宝马同源大踏板 · 配置高 · 降价1万</t>
        </is>
      </c>
      <c r="T96" s="16" t="inlineStr">
        <is>
          <t>与宝马 C400 共线生产，同车架同引擎规格；34 匹动力在大踏板里算小钢炮；7 寸仪表、行车记录仪、ABS+TCS 配置齐全</t>
        </is>
      </c>
      <c r="U96" s="16" t="inlineStr">
        <is>
          <t>208kg 车重，窄路掉头需注意；油耗约 3.8L，通勤成本不算低</t>
        </is>
      </c>
      <c r="V96" s="16" t="inlineStr">
        <is>
          <t>想要大踏板质感与动力、中长途通勤的用户</t>
        </is>
      </c>
    </row>
    <row r="97">
      <c r="A97" s="11" t="n">
        <v>96</v>
      </c>
      <c r="B97" s="12" t="inlineStr">
        <is>
          <t>本田 Honda</t>
        </is>
      </c>
      <c r="C97" s="12" t="inlineStr">
        <is>
          <t>本田 ADV160</t>
        </is>
      </c>
      <c r="D97" s="12" t="inlineStr">
        <is>
          <t>Honda ADV160</t>
        </is>
      </c>
      <c r="E97" s="13" t="inlineStr">
        <is>
          <t>踏板</t>
        </is>
      </c>
      <c r="F97" s="13" t="inlineStr">
        <is>
          <t>进口</t>
        </is>
      </c>
      <c r="G97" s="5" t="n">
        <v>34800</v>
      </c>
      <c r="H97" s="4" t="n">
        <v>157</v>
      </c>
      <c r="I97" s="12" t="inlineStr">
        <is>
          <t>单缸 · 水冷 · eSP+</t>
        </is>
      </c>
      <c r="J97" s="6" t="n">
        <v>12</v>
      </c>
      <c r="K97" s="6" t="n">
        <v>16.3</v>
      </c>
      <c r="L97" s="6" t="n">
        <v>14.7</v>
      </c>
      <c r="M97" s="4" t="n">
        <v>133</v>
      </c>
      <c r="N97" s="4" t="n">
        <v>795</v>
      </c>
      <c r="O97" s="6" t="n">
        <v>8.1</v>
      </c>
      <c r="P97" s="14">
        <f>IF(OR(K97="",M97="",M97=0),"",ROUND(K97/(M97/1000),0))</f>
        <v/>
      </c>
      <c r="Q97" s="15">
        <f>IF(OR(G97="",H97="",H97=0),"",ROUND(G97/H97,0))</f>
        <v/>
      </c>
      <c r="R97" s="16" t="inlineStr">
        <is>
          <t>通勤代步 · 越野林道</t>
        </is>
      </c>
      <c r="S97" s="16" t="inlineStr">
        <is>
          <t>跨界踏板 · SUV风格 · 品质稳</t>
        </is>
      </c>
      <c r="T97" s="16" t="inlineStr">
        <is>
          <t>跨界 SUV 造型，在踏板里辨识度极高；133kg 车轻，城市穿梭灵活；本田品质与保值率好</t>
        </is>
      </c>
      <c r="U97" s="16" t="inlineStr">
        <is>
          <t>价格接近 3.5 万，比同级 150 贵一倍；座高 795mm 偏高，储物一般</t>
        </is>
      </c>
      <c r="V97" s="16" t="inlineStr">
        <is>
          <t>喜欢跨界造型、预算充足的品质型通勤用户</t>
        </is>
      </c>
    </row>
    <row r="98">
      <c r="A98" s="11" t="n">
        <v>97</v>
      </c>
      <c r="B98" s="12" t="inlineStr">
        <is>
          <t>Vespa</t>
        </is>
      </c>
      <c r="C98" s="12" t="inlineStr">
        <is>
          <t>Vespa 春天 150</t>
        </is>
      </c>
      <c r="D98" s="12" t="inlineStr">
        <is>
          <t>Vespa Primavera 150</t>
        </is>
      </c>
      <c r="E98" s="13" t="inlineStr">
        <is>
          <t>踏板</t>
        </is>
      </c>
      <c r="F98" s="13" t="inlineStr">
        <is>
          <t>进口</t>
        </is>
      </c>
      <c r="G98" s="5" t="n">
        <v>37800</v>
      </c>
      <c r="H98" s="4" t="n">
        <v>155</v>
      </c>
      <c r="I98" s="12" t="inlineStr">
        <is>
          <t>单缸 · 风冷 · i-get</t>
        </is>
      </c>
      <c r="J98" s="6" t="n">
        <v>9.5</v>
      </c>
      <c r="K98" s="6" t="n">
        <v>12.9</v>
      </c>
      <c r="L98" s="6" t="n">
        <v>12.5</v>
      </c>
      <c r="M98" s="4" t="n">
        <v>130</v>
      </c>
      <c r="N98" s="4" t="n">
        <v>790</v>
      </c>
      <c r="O98" s="6" t="n">
        <v>8</v>
      </c>
      <c r="P98" s="14">
        <f>IF(OR(K98="",M98="",M98=0),"",ROUND(K98/(M98/1000),0))</f>
        <v/>
      </c>
      <c r="Q98" s="15">
        <f>IF(OR(G98="",H98="",H98=0),"",ROUND(G98/H98,0))</f>
        <v/>
      </c>
      <c r="R98" s="16" t="inlineStr">
        <is>
          <t>通勤代步 · 城市巡航</t>
        </is>
      </c>
      <c r="S98" s="16" t="inlineStr">
        <is>
          <t>意式经典 · 铁壳车身 · 时尚单品</t>
        </is>
      </c>
      <c r="T98" s="16" t="inlineStr">
        <is>
          <t>铁壳车身 + 意式造型，是踏板里的时尚符号；品牌调性与保值率独特；城市代步气质拉满</t>
        </is>
      </c>
      <c r="U98" s="16" t="inlineStr">
        <is>
          <t>155cc 9.5kW，动力与价格极不匹配；配置基础，维修配件贵</t>
        </is>
      </c>
      <c r="V98" s="16" t="inlineStr">
        <is>
          <t>把踏板当穿搭单品、预算充足追求格调的用户</t>
        </is>
      </c>
    </row>
    <row r="99">
      <c r="A99" s="11" t="n">
        <v>98</v>
      </c>
      <c r="B99" s="12" t="inlineStr">
        <is>
          <t>雅马哈 Yamaha</t>
        </is>
      </c>
      <c r="C99" s="12" t="inlineStr">
        <is>
          <t>雅马哈 XMAX300</t>
        </is>
      </c>
      <c r="D99" s="12" t="inlineStr">
        <is>
          <t>Yamaha XMAX 300</t>
        </is>
      </c>
      <c r="E99" s="13" t="inlineStr">
        <is>
          <t>踏板</t>
        </is>
      </c>
      <c r="F99" s="13" t="inlineStr">
        <is>
          <t>进口</t>
        </is>
      </c>
      <c r="G99" s="5" t="n">
        <v>49800</v>
      </c>
      <c r="H99" s="4" t="n">
        <v>292</v>
      </c>
      <c r="I99" s="12" t="inlineStr">
        <is>
          <t>单缸 · 水冷</t>
        </is>
      </c>
      <c r="J99" s="6" t="n">
        <v>20.6</v>
      </c>
      <c r="K99" s="6" t="n">
        <v>28</v>
      </c>
      <c r="L99" s="6" t="n">
        <v>29</v>
      </c>
      <c r="M99" s="4" t="n">
        <v>180</v>
      </c>
      <c r="N99" s="4" t="n">
        <v>795</v>
      </c>
      <c r="O99" s="6" t="n">
        <v>13</v>
      </c>
      <c r="P99" s="14">
        <f>IF(OR(K99="",M99="",M99=0),"",ROUND(K99/(M99/1000),0))</f>
        <v/>
      </c>
      <c r="Q99" s="15">
        <f>IF(OR(G99="",H99="",H99=0),"",ROUND(G99/H99,0))</f>
        <v/>
      </c>
      <c r="R99" s="16" t="inlineStr">
        <is>
          <t>通勤代步 · 长途摩旅</t>
        </is>
      </c>
      <c r="S99" s="16" t="inlineStr">
        <is>
          <t>大踏板 · 双全盔座桶 · 长途舒适</t>
        </is>
      </c>
      <c r="T99" s="16" t="inlineStr">
        <is>
          <t>座桶可放两顶全盔，装载能力同级顶尖；13L 油箱 + 优秀风阻保护，长途很舒服；雅马哈品质与保值率有保障</t>
        </is>
      </c>
      <c r="U99" s="16" t="inlineStr">
        <is>
          <t>价格接近 5 万，门槛不低；180kg 车身，低速掉头要适应</t>
        </is>
      </c>
      <c r="V99" s="16" t="inlineStr">
        <is>
          <t>长途通勤、经常双人出行或需要大储物空间的用户</t>
        </is>
      </c>
    </row>
    <row r="100">
      <c r="A100" s="11" t="n">
        <v>99</v>
      </c>
      <c r="B100" s="12" t="inlineStr">
        <is>
          <t>本田 Honda</t>
        </is>
      </c>
      <c r="C100" s="12" t="inlineStr">
        <is>
          <t>本田 FORZA350</t>
        </is>
      </c>
      <c r="D100" s="12" t="inlineStr">
        <is>
          <t>Honda FORZA 350</t>
        </is>
      </c>
      <c r="E100" s="13" t="inlineStr">
        <is>
          <t>踏板</t>
        </is>
      </c>
      <c r="F100" s="13" t="inlineStr">
        <is>
          <t>进口</t>
        </is>
      </c>
      <c r="G100" s="5" t="n">
        <v>55800</v>
      </c>
      <c r="H100" s="4" t="n">
        <v>330</v>
      </c>
      <c r="I100" s="12" t="inlineStr">
        <is>
          <t>单缸 · 水冷</t>
        </is>
      </c>
      <c r="J100" s="6" t="n">
        <v>21</v>
      </c>
      <c r="K100" s="6" t="n">
        <v>28.6</v>
      </c>
      <c r="L100" s="6" t="n">
        <v>31.5</v>
      </c>
      <c r="M100" s="4" t="n">
        <v>186</v>
      </c>
      <c r="N100" s="4" t="n">
        <v>780</v>
      </c>
      <c r="O100" s="6" t="n">
        <v>11.7</v>
      </c>
      <c r="P100" s="14">
        <f>IF(OR(K100="",M100="",M100=0),"",ROUND(K100/(M100/1000),0))</f>
        <v/>
      </c>
      <c r="Q100" s="15">
        <f>IF(OR(G100="",H100="",H100=0),"",ROUND(G100/H100,0))</f>
        <v/>
      </c>
      <c r="R100" s="16" t="inlineStr">
        <is>
          <t>通勤代步 · 长途摩旅</t>
        </is>
      </c>
      <c r="S100" s="16" t="inlineStr">
        <is>
          <t>大踏板 · 电动风挡 · 储物王者</t>
        </is>
      </c>
      <c r="T100" s="16" t="inlineStr">
        <is>
          <t>330cc 28.6 匹，高速巡航从容；电动风挡 + 大座桶，长途舒适性一流；本田品质，保值率高</t>
        </is>
      </c>
      <c r="U100" s="16" t="inlineStr">
        <is>
          <t>价格接近 5.6 万；车重 186kg，低速挪车需适应</t>
        </is>
      </c>
      <c r="V100" s="16" t="inlineStr">
        <is>
          <t>预算充足、经常长途或双人出行的大踏板买家</t>
        </is>
      </c>
    </row>
    <row r="101">
      <c r="A101" s="11" t="n">
        <v>100</v>
      </c>
      <c r="B101" s="12" t="inlineStr">
        <is>
          <t>凯威 Kaiwei</t>
        </is>
      </c>
      <c r="C101" s="12" t="inlineStr">
        <is>
          <t>凯威 Finder T250X</t>
        </is>
      </c>
      <c r="D101" s="12" t="inlineStr">
        <is>
          <t>Kaiwei Finder T250X</t>
        </is>
      </c>
      <c r="E101" s="13" t="inlineStr">
        <is>
          <t>越野</t>
        </is>
      </c>
      <c r="F101" s="13" t="inlineStr">
        <is>
          <t>国产</t>
        </is>
      </c>
      <c r="G101" s="5" t="n">
        <v>13980</v>
      </c>
      <c r="H101" s="4" t="n">
        <v>250</v>
      </c>
      <c r="I101" s="12" t="inlineStr">
        <is>
          <t>单缸 · 水冷</t>
        </is>
      </c>
      <c r="J101" s="6" t="n">
        <v>15</v>
      </c>
      <c r="K101" s="6" t="n">
        <v>20.4</v>
      </c>
      <c r="L101" s="6" t="n">
        <v>22</v>
      </c>
      <c r="M101" s="4" t="n">
        <v>151</v>
      </c>
      <c r="N101" s="4" t="n">
        <v>890</v>
      </c>
      <c r="O101" s="6" t="n">
        <v>13</v>
      </c>
      <c r="P101" s="14">
        <f>IF(OR(K101="",M101="",M101=0),"",ROUND(K101/(M101/1000),0))</f>
        <v/>
      </c>
      <c r="Q101" s="15">
        <f>IF(OR(G101="",H101="",H101=0),"",ROUND(G101/H101,0))</f>
        <v/>
      </c>
      <c r="R101" s="16" t="inlineStr">
        <is>
          <t>越野林道 · 新手友好</t>
        </is>
      </c>
      <c r="S101" s="16" t="inlineStr">
        <is>
          <t>轻型拉力 · 230mm离地间隙 · 随便摔</t>
        </is>
      </c>
      <c r="T101" s="16" t="inlineStr">
        <is>
          <t>151kg + 230mm 离地间隙，林道里极其灵活；1.4 万的入门价，摔了完全不心疼；配备高位排气与原厂保险杠，玩法齐全</t>
        </is>
      </c>
      <c r="U101" s="16" t="inlineStr">
        <is>
          <t>20 匹动力偏弱，公路巡航吃力；座高 890mm，矮个子基本骑不了</t>
        </is>
      </c>
      <c r="V101" s="16" t="inlineStr">
        <is>
          <t>想入门林道越野、又怕重车的玩家</t>
        </is>
      </c>
    </row>
    <row r="102">
      <c r="A102" s="11" t="n">
        <v>101</v>
      </c>
      <c r="B102" s="12" t="inlineStr">
        <is>
          <t>凯越 KAYO</t>
        </is>
      </c>
      <c r="C102" s="12" t="inlineStr">
        <is>
          <t>凯越 800X</t>
        </is>
      </c>
      <c r="D102" s="12" t="inlineStr">
        <is>
          <t>KAYO 800X</t>
        </is>
      </c>
      <c r="E102" s="13" t="inlineStr">
        <is>
          <t>越野</t>
        </is>
      </c>
      <c r="F102" s="13" t="inlineStr">
        <is>
          <t>国产</t>
        </is>
      </c>
      <c r="G102" s="5" t="n">
        <v>41800</v>
      </c>
      <c r="H102" s="4" t="n">
        <v>799</v>
      </c>
      <c r="I102" s="12" t="inlineStr">
        <is>
          <t>直列双缸 · 水冷</t>
        </is>
      </c>
      <c r="J102" s="6" t="n">
        <v>71</v>
      </c>
      <c r="K102" s="6" t="n">
        <v>96.5</v>
      </c>
      <c r="L102" s="6" t="n">
        <v>80</v>
      </c>
      <c r="M102" s="4" t="n">
        <v>213</v>
      </c>
      <c r="N102" s="4" t="n">
        <v>830</v>
      </c>
      <c r="O102" s="6" t="n">
        <v>20</v>
      </c>
      <c r="P102" s="14">
        <f>IF(OR(K102="",M102="",M102=0),"",ROUND(K102/(M102/1000),0))</f>
        <v/>
      </c>
      <c r="Q102" s="15">
        <f>IF(OR(G102="",H102="",H102=0),"",ROUND(G102/H102,0))</f>
        <v/>
      </c>
      <c r="R102" s="16" t="inlineStr">
        <is>
          <t>越野林道 · 长途摩旅</t>
        </is>
      </c>
      <c r="S102" s="16" t="inlineStr">
        <is>
          <t>大排硬派 · 轻量化 · 力大砖飞</t>
        </is>
      </c>
      <c r="T102" s="16" t="inlineStr">
        <is>
          <t>799cc 双缸 96 匹，动力在国产 ADV 中很猛；213kg 对于这个排量属于轻量化控制出色；配置给得足，越野硬件扎实</t>
        </is>
      </c>
      <c r="U102" s="16" t="inlineStr">
        <is>
          <t>座高 830mm，对身高要求高；4 万多的价格对国产来说不算便宜</t>
        </is>
      </c>
      <c r="V102" s="16" t="inlineStr">
        <is>
          <t>想要大排量硬派越野/ADV 的资深玩家</t>
        </is>
      </c>
    </row>
    <row r="103">
      <c r="A103" s="11" t="n">
        <v>102</v>
      </c>
      <c r="B103" s="12" t="inlineStr">
        <is>
          <t>本田 Honda</t>
        </is>
      </c>
      <c r="C103" s="12" t="inlineStr">
        <is>
          <t>本田 CRF250L</t>
        </is>
      </c>
      <c r="D103" s="12" t="inlineStr">
        <is>
          <t>Honda CRF250L</t>
        </is>
      </c>
      <c r="E103" s="13" t="inlineStr">
        <is>
          <t>越野</t>
        </is>
      </c>
      <c r="F103" s="13" t="inlineStr">
        <is>
          <t>进口</t>
        </is>
      </c>
      <c r="G103" s="5" t="n">
        <v>45900</v>
      </c>
      <c r="H103" s="4" t="n">
        <v>250</v>
      </c>
      <c r="I103" s="12" t="inlineStr">
        <is>
          <t>单缸 · 水冷</t>
        </is>
      </c>
      <c r="J103" s="6" t="n">
        <v>18.2</v>
      </c>
      <c r="K103" s="6" t="n">
        <v>24.7</v>
      </c>
      <c r="L103" s="6" t="n">
        <v>22.6</v>
      </c>
      <c r="M103" s="4" t="n">
        <v>141</v>
      </c>
      <c r="N103" s="4" t="n">
        <v>880</v>
      </c>
      <c r="O103" s="6" t="n">
        <v>7.8</v>
      </c>
      <c r="P103" s="14">
        <f>IF(OR(K103="",M103="",M103=0),"",ROUND(K103/(M103/1000),0))</f>
        <v/>
      </c>
      <c r="Q103" s="15">
        <f>IF(OR(G103="",H103="",H103=0),"",ROUND(G103/H103,0))</f>
        <v/>
      </c>
      <c r="R103" s="16" t="inlineStr">
        <is>
          <t>越野林道</t>
        </is>
      </c>
      <c r="S103" s="16" t="inlineStr">
        <is>
          <t>双用途越野 · 可靠 · 可上牌</t>
        </is>
      </c>
      <c r="T103" s="16" t="inlineStr">
        <is>
          <t>141kg 车重，越野操控轻盈；本田可靠性口碑极好，长期耐用；双用途设定，公路与林道都能跑</t>
        </is>
      </c>
      <c r="U103" s="16" t="inlineStr">
        <is>
          <t>座高 880mm，对身高要求很高；动力偏温和，硬核越野偏弱；价格接近 4.6 万</t>
        </is>
      </c>
      <c r="V103" s="16" t="inlineStr">
        <is>
          <t>越野入门、并且需要合法上牌的双用途需求</t>
        </is>
      </c>
    </row>
    <row r="104">
      <c r="A104" s="11" t="n">
        <v>103</v>
      </c>
      <c r="B104" s="12" t="inlineStr">
        <is>
          <t>本田 Honda</t>
        </is>
      </c>
      <c r="C104" s="12" t="inlineStr">
        <is>
          <t>本田 CRF300L</t>
        </is>
      </c>
      <c r="D104" s="12" t="inlineStr">
        <is>
          <t>Honda CRF300L</t>
        </is>
      </c>
      <c r="E104" s="13" t="inlineStr">
        <is>
          <t>越野</t>
        </is>
      </c>
      <c r="F104" s="13" t="inlineStr">
        <is>
          <t>进口</t>
        </is>
      </c>
      <c r="G104" s="5" t="n">
        <v>48900</v>
      </c>
      <c r="H104" s="4" t="n">
        <v>286</v>
      </c>
      <c r="I104" s="12" t="inlineStr">
        <is>
          <t>单缸 · 水冷</t>
        </is>
      </c>
      <c r="J104" s="6" t="n">
        <v>20.1</v>
      </c>
      <c r="K104" s="6" t="n">
        <v>27.3</v>
      </c>
      <c r="L104" s="6" t="n">
        <v>26.6</v>
      </c>
      <c r="M104" s="4" t="n">
        <v>142</v>
      </c>
      <c r="N104" s="4" t="n">
        <v>880</v>
      </c>
      <c r="O104" s="6" t="n">
        <v>7.8</v>
      </c>
      <c r="P104" s="14">
        <f>IF(OR(K104="",M104="",M104=0),"",ROUND(K104/(M104/1000),0))</f>
        <v/>
      </c>
      <c r="Q104" s="15">
        <f>IF(OR(G104="",H104="",H104=0),"",ROUND(G104/H104,0))</f>
        <v/>
      </c>
      <c r="R104" s="16" t="inlineStr">
        <is>
          <t>越野林道</t>
        </is>
      </c>
      <c r="S104" s="16" t="inlineStr">
        <is>
          <t>双用途越野 · 142kg · 可靠</t>
        </is>
      </c>
      <c r="T104" s="16" t="inlineStr">
        <is>
          <t>142kg 车重，林道操控轻盈；本田可靠性极好，长期耐用；双用途设定，公路与烂路都能跑</t>
        </is>
      </c>
      <c r="U104" s="16" t="inlineStr">
        <is>
          <t>座高 880mm，对身高要求很高；动力偏温和，硬核越野偏弱</t>
        </is>
      </c>
      <c r="V104" s="16" t="inlineStr">
        <is>
          <t>越野入门、且需要合法上牌的双用途需求</t>
        </is>
      </c>
    </row>
    <row r="105">
      <c r="A105" s="11" t="n">
        <v>104</v>
      </c>
      <c r="B105" s="12" t="inlineStr">
        <is>
          <t>凯越 KAYO</t>
        </is>
      </c>
      <c r="C105" s="12" t="inlineStr">
        <is>
          <t>凯越 450 Rally</t>
        </is>
      </c>
      <c r="D105" s="12" t="inlineStr">
        <is>
          <t>KAYO 450 Rally</t>
        </is>
      </c>
      <c r="E105" s="13" t="inlineStr">
        <is>
          <t>越野</t>
        </is>
      </c>
      <c r="F105" s="13" t="inlineStr">
        <is>
          <t>国产</t>
        </is>
      </c>
      <c r="G105" s="5" t="n">
        <v>49800</v>
      </c>
      <c r="H105" s="4" t="n">
        <v>449</v>
      </c>
      <c r="I105" s="12" t="inlineStr">
        <is>
          <t>单缸 · 水冷</t>
        </is>
      </c>
      <c r="J105" s="6" t="n">
        <v>40</v>
      </c>
      <c r="K105" s="6" t="n">
        <v>54.4</v>
      </c>
      <c r="L105" s="6" t="n">
        <v>44</v>
      </c>
      <c r="M105" s="4" t="n">
        <v>150</v>
      </c>
      <c r="N105" s="4" t="n">
        <v>950</v>
      </c>
      <c r="O105" s="6" t="n">
        <v>30</v>
      </c>
      <c r="P105" s="14">
        <f>IF(OR(K105="",M105="",M105=0),"",ROUND(K105/(M105/1000),0))</f>
        <v/>
      </c>
      <c r="Q105" s="15">
        <f>IF(OR(G105="",H105="",H105=0),"",ROUND(G105/H105,0))</f>
        <v/>
      </c>
      <c r="R105" s="16" t="inlineStr">
        <is>
          <t>越野林道 · 长途摩旅</t>
        </is>
      </c>
      <c r="S105" s="16" t="inlineStr">
        <is>
          <t>拉力赛车 · 30L油箱 · 150kg</t>
        </is>
      </c>
      <c r="T105" s="16" t="inlineStr">
        <is>
          <t>达喀尔拉力赛同源的赛车基因；150kg + 30L 大油箱，为长途拉力而生；越野硬件规格接近专业赛车</t>
        </is>
      </c>
      <c r="U105" s="16" t="inlineStr">
        <is>
          <t>座高 950mm，普通身高无法驾驭；保养周期短，不適合日常通勤</t>
        </is>
      </c>
      <c r="V105" s="16" t="inlineStr">
        <is>
          <t>有越野基础的硬核拉力玩家，不适合新手与日常代步</t>
        </is>
      </c>
    </row>
    <row r="106">
      <c r="A106" s="11" t="n">
        <v>105</v>
      </c>
      <c r="B106" s="12" t="inlineStr">
        <is>
          <t>本田 Honda</t>
        </is>
      </c>
      <c r="C106" s="12" t="inlineStr">
        <is>
          <t>本田 CRF250 Rally</t>
        </is>
      </c>
      <c r="D106" s="12" t="inlineStr">
        <is>
          <t>Honda CRF250 Rally</t>
        </is>
      </c>
      <c r="E106" s="13" t="inlineStr">
        <is>
          <t>越野</t>
        </is>
      </c>
      <c r="F106" s="13" t="inlineStr">
        <is>
          <t>进口</t>
        </is>
      </c>
      <c r="G106" s="5" t="n">
        <v>55800</v>
      </c>
      <c r="H106" s="4" t="n">
        <v>249</v>
      </c>
      <c r="I106" s="12" t="inlineStr">
        <is>
          <t>单缸 · 水冷</t>
        </is>
      </c>
      <c r="J106" s="6" t="n">
        <v>18.2</v>
      </c>
      <c r="K106" s="6" t="n">
        <v>24.7</v>
      </c>
      <c r="L106" s="6" t="n">
        <v>22.6</v>
      </c>
      <c r="M106" s="4" t="n">
        <v>152</v>
      </c>
      <c r="N106" s="4" t="n">
        <v>885</v>
      </c>
      <c r="O106" s="6" t="n">
        <v>10.1</v>
      </c>
      <c r="P106" s="14">
        <f>IF(OR(K106="",M106="",M106=0),"",ROUND(K106/(M106/1000),0))</f>
        <v/>
      </c>
      <c r="Q106" s="15">
        <f>IF(OR(G106="",H106="",H106=0),"",ROUND(G106/H106,0))</f>
        <v/>
      </c>
      <c r="R106" s="16" t="inlineStr">
        <is>
          <t>越野林道 · 长途摩旅</t>
        </is>
      </c>
      <c r="S106" s="16" t="inlineStr">
        <is>
          <t>拉力造型 · 10L油箱 · 耐造</t>
        </is>
      </c>
      <c r="T106" s="16" t="inlineStr">
        <is>
          <t>拉力赛车造型 + 大风挡，长途舒适性优于 CRF300L；10.1L 油箱，续航更好；本田品控，适合长途烂路</t>
        </is>
      </c>
      <c r="U106" s="16" t="inlineStr">
        <is>
          <t>座高 885mm 很高；动力偏弱，高速吃力</t>
        </is>
      </c>
      <c r="V106" s="16" t="inlineStr">
        <is>
          <t>想用轻量车跑长途烂路的越野摩旅党</t>
        </is>
      </c>
    </row>
    <row r="107">
      <c r="A107" s="11" t="n">
        <v>106</v>
      </c>
      <c r="B107" s="12" t="inlineStr">
        <is>
          <t>雅马哈 Yamaha</t>
        </is>
      </c>
      <c r="C107" s="12" t="inlineStr">
        <is>
          <t>雅马哈 WR250R</t>
        </is>
      </c>
      <c r="D107" s="12" t="inlineStr">
        <is>
          <t>Yamaha WR250R</t>
        </is>
      </c>
      <c r="E107" s="13" t="inlineStr">
        <is>
          <t>越野</t>
        </is>
      </c>
      <c r="F107" s="13" t="inlineStr">
        <is>
          <t>进口</t>
        </is>
      </c>
      <c r="G107" s="5" t="n">
        <v>69800</v>
      </c>
      <c r="H107" s="4" t="n">
        <v>250</v>
      </c>
      <c r="I107" s="12" t="inlineStr">
        <is>
          <t>单缸 · 水冷</t>
        </is>
      </c>
      <c r="J107" s="6" t="n">
        <v>22.6</v>
      </c>
      <c r="K107" s="6" t="n">
        <v>30.7</v>
      </c>
      <c r="L107" s="6" t="n">
        <v>24.4</v>
      </c>
      <c r="M107" s="4" t="n">
        <v>134</v>
      </c>
      <c r="N107" s="4" t="n">
        <v>930</v>
      </c>
      <c r="O107" s="6" t="n">
        <v>7.2</v>
      </c>
      <c r="P107" s="14">
        <f>IF(OR(K107="",M107="",M107=0),"",ROUND(K107/(M107/1000),0))</f>
        <v/>
      </c>
      <c r="Q107" s="15">
        <f>IF(OR(G107="",H107="",H107=0),"",ROUND(G107/H107,0))</f>
        <v/>
      </c>
      <c r="R107" s="16" t="inlineStr">
        <is>
          <t>越野林道</t>
        </is>
      </c>
      <c r="S107" s="16" t="inlineStr">
        <is>
          <t>专业林道 · 134kg · 高转单缸</t>
        </is>
      </c>
      <c r="T107" s="16" t="inlineStr">
        <is>
          <t>134kg 极致轻量，林道操控标杆；发动机为高转取向，动力输出有激情；可靠性口碑极好</t>
        </is>
      </c>
      <c r="U107" s="16" t="inlineStr">
        <is>
          <t>座高 930mm，绝大多数人无法驾驭；价格接近 7 万，且国内车源稀少</t>
        </is>
      </c>
      <c r="V107" s="16" t="inlineStr">
        <is>
          <t>有越野功底、追求极致轻量的硬核林道玩家</t>
        </is>
      </c>
    </row>
    <row r="108">
      <c r="A108" s="11" t="n">
        <v>107</v>
      </c>
      <c r="B108" s="12" t="inlineStr">
        <is>
          <t>KTM</t>
        </is>
      </c>
      <c r="C108" s="12" t="inlineStr">
        <is>
          <t>KTM 250 EXC-F</t>
        </is>
      </c>
      <c r="D108" s="12" t="inlineStr">
        <is>
          <t>KTM 250 EXC-F</t>
        </is>
      </c>
      <c r="E108" s="13" t="inlineStr">
        <is>
          <t>越野</t>
        </is>
      </c>
      <c r="F108" s="13" t="inlineStr">
        <is>
          <t>进口</t>
        </is>
      </c>
      <c r="G108" s="5" t="n">
        <v>99800</v>
      </c>
      <c r="H108" s="4" t="n">
        <v>250</v>
      </c>
      <c r="I108" s="12" t="inlineStr">
        <is>
          <t>单缸 · 水冷</t>
        </is>
      </c>
      <c r="J108" s="6" t="n">
        <v>28</v>
      </c>
      <c r="K108" s="6" t="n">
        <v>38</v>
      </c>
      <c r="L108" s="6" t="n">
        <v>26</v>
      </c>
      <c r="M108" s="4" t="n">
        <v>105</v>
      </c>
      <c r="N108" s="4" t="n">
        <v>960</v>
      </c>
      <c r="O108" s="6" t="n">
        <v>8.5</v>
      </c>
      <c r="P108" s="14">
        <f>IF(OR(K108="",M108="",M108=0),"",ROUND(K108/(M108/1000),0))</f>
        <v/>
      </c>
      <c r="Q108" s="15">
        <f>IF(OR(G108="",H108="",H108=0),"",ROUND(G108/H108,0))</f>
        <v/>
      </c>
      <c r="R108" s="16" t="inlineStr">
        <is>
          <t>越野林道</t>
        </is>
      </c>
      <c r="S108" s="16" t="inlineStr">
        <is>
          <t>105kg · 38匹 · 林道利器</t>
        </is>
      </c>
      <c r="T108" s="16" t="inlineStr">
        <is>
          <t>105kg 超轻车身，林道里极其灵活；250cc 高转单缸，动力线性可控；KTM 越野车系的技术下放</t>
        </is>
      </c>
      <c r="U108" s="16" t="inlineStr">
        <is>
          <t>座高 960mm，超高；价格接近 10 万，保养频繁</t>
        </is>
      </c>
      <c r="V108" s="16" t="inlineStr">
        <is>
          <t>有越野经验、追求轻量林道操控的玩家</t>
        </is>
      </c>
    </row>
    <row r="109">
      <c r="A109" s="11" t="n">
        <v>108</v>
      </c>
      <c r="B109" s="12" t="inlineStr">
        <is>
          <t>KTM</t>
        </is>
      </c>
      <c r="C109" s="12" t="inlineStr">
        <is>
          <t>KTM 350 EXC-F</t>
        </is>
      </c>
      <c r="D109" s="12" t="inlineStr">
        <is>
          <t>KTM 350 EXC-F</t>
        </is>
      </c>
      <c r="E109" s="13" t="inlineStr">
        <is>
          <t>越野</t>
        </is>
      </c>
      <c r="F109" s="13" t="inlineStr">
        <is>
          <t>进口</t>
        </is>
      </c>
      <c r="G109" s="5" t="n">
        <v>109800</v>
      </c>
      <c r="H109" s="4" t="n">
        <v>350</v>
      </c>
      <c r="I109" s="12" t="inlineStr">
        <is>
          <t>单缸 · 水冷</t>
        </is>
      </c>
      <c r="J109" s="6" t="n">
        <v>34</v>
      </c>
      <c r="K109" s="6" t="n">
        <v>46</v>
      </c>
      <c r="L109" s="6" t="n">
        <v>34</v>
      </c>
      <c r="M109" s="4" t="n">
        <v>106</v>
      </c>
      <c r="N109" s="4" t="n">
        <v>950</v>
      </c>
      <c r="O109" s="6" t="n">
        <v>8.5</v>
      </c>
      <c r="P109" s="14">
        <f>IF(OR(K109="",M109="",M109=0),"",ROUND(K109/(M109/1000),0))</f>
        <v/>
      </c>
      <c r="Q109" s="15">
        <f>IF(OR(G109="",H109="",H109=0),"",ROUND(G109/H109,0))</f>
        <v/>
      </c>
      <c r="R109" s="16" t="inlineStr">
        <is>
          <t>越野林道</t>
        </is>
      </c>
      <c r="S109" s="16" t="inlineStr">
        <is>
          <t>106kg · 46匹 · 越野之王</t>
        </is>
      </c>
      <c r="T109" s="16" t="inlineStr">
        <is>
          <t>106kg 车重配 46 匹，推重比达到赛车级别；KTM 在越野领域的统治级地位；底盘与悬挂为纯越野场景设计</t>
        </is>
      </c>
      <c r="U109" s="16" t="inlineStr">
        <is>
          <t>座高 950mm，普通身高无法驾驭；保养按小时计，维护成本高</t>
        </is>
      </c>
      <c r="V109" s="16" t="inlineStr">
        <is>
          <t>有越野基础的硬核玩家，完全不适合日常通勤</t>
        </is>
      </c>
    </row>
    <row r="110">
      <c r="A110" s="11" t="n">
        <v>109</v>
      </c>
      <c r="B110" s="12" t="inlineStr">
        <is>
          <t>KTM</t>
        </is>
      </c>
      <c r="C110" s="12" t="inlineStr">
        <is>
          <t>KTM 500 EXC-F</t>
        </is>
      </c>
      <c r="D110" s="12" t="inlineStr">
        <is>
          <t>KTM 500 EXC-F</t>
        </is>
      </c>
      <c r="E110" s="13" t="inlineStr">
        <is>
          <t>越野</t>
        </is>
      </c>
      <c r="F110" s="13" t="inlineStr">
        <is>
          <t>进口</t>
        </is>
      </c>
      <c r="G110" s="5" t="n">
        <v>116000</v>
      </c>
      <c r="H110" s="4" t="n">
        <v>510</v>
      </c>
      <c r="I110" s="12" t="inlineStr">
        <is>
          <t>单缸 · 水冷</t>
        </is>
      </c>
      <c r="J110" s="6" t="n">
        <v>46</v>
      </c>
      <c r="K110" s="6" t="n">
        <v>63</v>
      </c>
      <c r="L110" s="6" t="n">
        <v>45</v>
      </c>
      <c r="M110" s="4" t="n">
        <v>111</v>
      </c>
      <c r="N110" s="4" t="n">
        <v>950</v>
      </c>
      <c r="O110" s="6" t="n">
        <v>8.5</v>
      </c>
      <c r="P110" s="14">
        <f>IF(OR(K110="",M110="",M110=0),"",ROUND(K110/(M110/1000),0))</f>
        <v/>
      </c>
      <c r="Q110" s="15">
        <f>IF(OR(G110="",H110="",H110=0),"",ROUND(G110/H110,0))</f>
        <v/>
      </c>
      <c r="R110" s="16" t="inlineStr">
        <is>
          <t>越野林道</t>
        </is>
      </c>
      <c r="S110" s="16" t="inlineStr">
        <is>
          <t>硬核越野 · 111kg · 动力猛</t>
        </is>
      </c>
      <c r="T110" s="16" t="inlineStr">
        <is>
          <t>111kg 车重配 63 匹，推重比达到赛车级别；底盘与悬挂为纯越野场景设计；KTM 在越野领域的品牌地位无需多言</t>
        </is>
      </c>
      <c r="U110" s="16" t="inlineStr">
        <is>
          <t>座高 950mm，普通身高无法驾驭；保养周期按小时算，维护成本高；价格昂贵，接近 12 万</t>
        </is>
      </c>
      <c r="V110" s="16" t="inlineStr">
        <is>
          <t>有越野基础的硬核玩家，不适合日常通勤</t>
        </is>
      </c>
    </row>
    <row r="111">
      <c r="A111" s="11" t="n">
        <v>110</v>
      </c>
      <c r="B111" s="12" t="inlineStr">
        <is>
          <t>九号 Segway</t>
        </is>
      </c>
      <c r="C111" s="12" t="inlineStr">
        <is>
          <t>九号 E100</t>
        </is>
      </c>
      <c r="D111" s="12" t="inlineStr">
        <is>
          <t>Segway Ninebot E100</t>
        </is>
      </c>
      <c r="E111" s="13" t="inlineStr">
        <is>
          <t>电动摩托</t>
        </is>
      </c>
      <c r="F111" s="13" t="inlineStr">
        <is>
          <t>国产</t>
        </is>
      </c>
      <c r="G111" s="5" t="n">
        <v>9499</v>
      </c>
      <c r="H111" s="4" t="n">
        <v>0</v>
      </c>
      <c r="I111" s="12" t="inlineStr">
        <is>
          <t>轮毂电机 · 锂电池</t>
        </is>
      </c>
      <c r="J111" s="6" t="n">
        <v>2.4</v>
      </c>
      <c r="K111" s="6" t="n">
        <v>3.3</v>
      </c>
      <c r="L111" s="6" t="n">
        <v>55</v>
      </c>
      <c r="M111" s="4" t="n">
        <v>78</v>
      </c>
      <c r="N111" s="4" t="n">
        <v>760</v>
      </c>
      <c r="O111" s="6" t="n">
        <v>0</v>
      </c>
      <c r="P111" s="14">
        <f>IF(OR(K111="",M111="",M111=0),"",ROUND(K111/(M111/1000),0))</f>
        <v/>
      </c>
      <c r="Q111" s="15">
        <f>IF(OR(G111="",H111="",H111=0),"",ROUND(G111/H111,0))</f>
        <v/>
      </c>
      <c r="R111" s="16" t="inlineStr">
        <is>
          <t>通勤代步 · 新手友好</t>
        </is>
      </c>
      <c r="S111" s="16" t="inlineStr">
        <is>
          <t>入门电摩 · 78kg · 智能解锁</t>
        </is>
      </c>
      <c r="T111" s="16" t="inlineStr">
        <is>
          <t>不到 1 万，电摩入门门槛低；78kg 车身，挪车毫无压力；无钥匙解锁与 App 防盗功能实用</t>
        </is>
      </c>
      <c r="U111" s="16" t="inlineStr">
        <is>
          <t>动力弱，只能市区代步；续航约 60–70km</t>
        </is>
      </c>
      <c r="V111" s="16" t="inlineStr">
        <is>
          <t>市区短途通勤、不想考取大排驾照的新手用户</t>
        </is>
      </c>
    </row>
    <row r="112">
      <c r="A112" s="11" t="n">
        <v>111</v>
      </c>
      <c r="B112" s="12" t="inlineStr">
        <is>
          <t>小牛 NIU</t>
        </is>
      </c>
      <c r="C112" s="12" t="inlineStr">
        <is>
          <t>小牛 NQi GT</t>
        </is>
      </c>
      <c r="D112" s="12" t="inlineStr">
        <is>
          <t>NIU NQi GT</t>
        </is>
      </c>
      <c r="E112" s="13" t="inlineStr">
        <is>
          <t>电动摩托</t>
        </is>
      </c>
      <c r="F112" s="13" t="inlineStr">
        <is>
          <t>国产</t>
        </is>
      </c>
      <c r="G112" s="5" t="n">
        <v>10999</v>
      </c>
      <c r="H112" s="4" t="n">
        <v>0</v>
      </c>
      <c r="I112" s="12" t="inlineStr">
        <is>
          <t>轮毂电机 · 锂电池</t>
        </is>
      </c>
      <c r="J112" s="6" t="n">
        <v>3</v>
      </c>
      <c r="K112" s="6" t="n">
        <v>4.1</v>
      </c>
      <c r="L112" s="6" t="n">
        <v>75</v>
      </c>
      <c r="M112" s="4" t="n">
        <v>90</v>
      </c>
      <c r="N112" s="4" t="n">
        <v>765</v>
      </c>
      <c r="O112" s="6" t="n">
        <v>0</v>
      </c>
      <c r="P112" s="14">
        <f>IF(OR(K112="",M112="",M112=0),"",ROUND(K112/(M112/1000),0))</f>
        <v/>
      </c>
      <c r="Q112" s="15">
        <f>IF(OR(G112="",H112="",H112=0),"",ROUND(G112/H112,0))</f>
        <v/>
      </c>
      <c r="R112" s="16" t="inlineStr">
        <is>
          <t>通勤代步 · 新手友好</t>
        </is>
      </c>
      <c r="S112" s="16" t="inlineStr">
        <is>
          <t>经典款 · 1万出头 · 好上手</t>
        </is>
      </c>
      <c r="T112" s="16" t="inlineStr">
        <is>
          <t>小牛最经典的造型，辨识度高；1 万出头，智能配置齐全；售后网点多，维修方便</t>
        </is>
      </c>
      <c r="U112" s="16" t="inlineStr">
        <is>
          <t>动力仅够代步；续航约 80km</t>
        </is>
      </c>
      <c r="V112" s="16" t="inlineStr">
        <is>
          <t>城市短途通勤、看重品牌与智能配置的用户</t>
        </is>
      </c>
    </row>
    <row r="113">
      <c r="A113" s="11" t="n">
        <v>112</v>
      </c>
      <c r="B113" s="12" t="inlineStr">
        <is>
          <t>小牛 NIU</t>
        </is>
      </c>
      <c r="C113" s="12" t="inlineStr">
        <is>
          <t>小牛 NXT Ultra</t>
        </is>
      </c>
      <c r="D113" s="12" t="inlineStr">
        <is>
          <t>NIU NXT Ultra</t>
        </is>
      </c>
      <c r="E113" s="13" t="inlineStr">
        <is>
          <t>电动摩托</t>
        </is>
      </c>
      <c r="F113" s="13" t="inlineStr">
        <is>
          <t>国产</t>
        </is>
      </c>
      <c r="G113" s="5" t="n">
        <v>15999</v>
      </c>
      <c r="H113" s="4" t="n">
        <v>0</v>
      </c>
      <c r="I113" s="12" t="inlineStr">
        <is>
          <t>轮毂电机 · 锂电池</t>
        </is>
      </c>
      <c r="J113" s="6" t="n">
        <v>4</v>
      </c>
      <c r="K113" s="6" t="n">
        <v>5.4</v>
      </c>
      <c r="L113" s="6" t="n">
        <v>90</v>
      </c>
      <c r="M113" s="4" t="n">
        <v>95</v>
      </c>
      <c r="N113" s="4" t="n">
        <v>760</v>
      </c>
      <c r="O113" s="6" t="n">
        <v>0</v>
      </c>
      <c r="P113" s="14">
        <f>IF(OR(K113="",M113="",M113=0),"",ROUND(K113/(M113/1000),0))</f>
        <v/>
      </c>
      <c r="Q113" s="15">
        <f>IF(OR(G113="",H113="",H113=0),"",ROUND(G113/H113,0))</f>
        <v/>
      </c>
      <c r="R113" s="16" t="inlineStr">
        <is>
          <t>通勤代步</t>
        </is>
      </c>
      <c r="S113" s="16" t="inlineStr">
        <is>
          <t>智能电摩 · 设计感 · 续航长</t>
        </is>
      </c>
      <c r="T113" s="16" t="inlineStr">
        <is>
          <t>设计感与做工在电摩里属于第一梯队；续航可达 130km 以上，通勤够用；智能解锁、OTA、防盗生态成熟</t>
        </is>
      </c>
      <c r="U113" s="16" t="inlineStr">
        <is>
          <t>动力偏弱，不适合跑快速路；价格接近 1.6 万，接近燃油 150 踏板</t>
        </is>
      </c>
      <c r="V113" s="16" t="inlineStr">
        <is>
          <t>注重设计感与智能体验的城市通勤用户</t>
        </is>
      </c>
    </row>
    <row r="114">
      <c r="A114" s="11" t="n">
        <v>113</v>
      </c>
      <c r="B114" s="12" t="inlineStr">
        <is>
          <t>九号 Segway</t>
        </is>
      </c>
      <c r="C114" s="12" t="inlineStr">
        <is>
          <t>九号 E300P</t>
        </is>
      </c>
      <c r="D114" s="12" t="inlineStr">
        <is>
          <t>Segway Ninebot E300P</t>
        </is>
      </c>
      <c r="E114" s="13" t="inlineStr">
        <is>
          <t>电动摩托</t>
        </is>
      </c>
      <c r="F114" s="13" t="inlineStr">
        <is>
          <t>国产</t>
        </is>
      </c>
      <c r="G114" s="5" t="n">
        <v>16999</v>
      </c>
      <c r="H114" s="4" t="n">
        <v>0</v>
      </c>
      <c r="I114" s="12" t="inlineStr">
        <is>
          <t>中置电机 · 三元锂电池</t>
        </is>
      </c>
      <c r="J114" s="6" t="n">
        <v>10</v>
      </c>
      <c r="K114" s="6" t="n">
        <v>13.6</v>
      </c>
      <c r="L114" s="6" t="n">
        <v>178</v>
      </c>
      <c r="M114" s="4" t="n">
        <v>115</v>
      </c>
      <c r="N114" s="4" t="n">
        <v>780</v>
      </c>
      <c r="O114" s="6" t="n">
        <v>0</v>
      </c>
      <c r="P114" s="14">
        <f>IF(OR(K114="",M114="",M114=0),"",ROUND(K114/(M114/1000),0))</f>
        <v/>
      </c>
      <c r="Q114" s="15">
        <f>IF(OR(G114="",H114="",H114=0),"",ROUND(G114/H114,0))</f>
        <v/>
      </c>
      <c r="R114" s="16" t="inlineStr">
        <is>
          <t>通勤代步 · 玩乐跑山</t>
        </is>
      </c>
      <c r="S114" s="16" t="inlineStr">
        <is>
          <t>电动性能王 · 极速135 · 智能系统</t>
        </is>
      </c>
      <c r="T114" s="16" t="inlineStr">
        <is>
          <t>轮上扭矩 178N·m，起步加速极快；极速约 135km/h，是国产电摩里的性能标杆；智能化程度高，OTA 与 App 生态完善</t>
        </is>
      </c>
      <c r="U114" s="16" t="inlineStr">
        <is>
          <t>续航约 100–120km，长途受限；16,999 元的售价对电摩来说偏高</t>
        </is>
      </c>
      <c r="V114" s="16" t="inlineStr">
        <is>
          <t>城市通勤为主、追求加速快感与智能体验的年轻用户</t>
        </is>
      </c>
    </row>
    <row r="115">
      <c r="A115" s="11" t="n">
        <v>114</v>
      </c>
      <c r="B115" s="12" t="inlineStr">
        <is>
          <t>极核 ZEEHO</t>
        </is>
      </c>
      <c r="C115" s="12" t="inlineStr">
        <is>
          <t>极核 AE8</t>
        </is>
      </c>
      <c r="D115" s="12" t="inlineStr">
        <is>
          <t>ZEEHO AE8</t>
        </is>
      </c>
      <c r="E115" s="13" t="inlineStr">
        <is>
          <t>电动摩托</t>
        </is>
      </c>
      <c r="F115" s="13" t="inlineStr">
        <is>
          <t>国产</t>
        </is>
      </c>
      <c r="G115" s="5" t="n">
        <v>17980</v>
      </c>
      <c r="H115" s="4" t="n">
        <v>0</v>
      </c>
      <c r="I115" s="12" t="inlineStr">
        <is>
          <t>中置电机 · 锂电池</t>
        </is>
      </c>
      <c r="J115" s="6" t="n">
        <v>12.5</v>
      </c>
      <c r="K115" s="6" t="n">
        <v>17</v>
      </c>
      <c r="L115" s="6" t="n">
        <v>218</v>
      </c>
      <c r="M115" s="4" t="n">
        <v>133</v>
      </c>
      <c r="N115" s="4" t="n">
        <v>780</v>
      </c>
      <c r="O115" s="6" t="n">
        <v>0</v>
      </c>
      <c r="P115" s="14">
        <f>IF(OR(K115="",M115="",M115=0),"",ROUND(K115/(M115/1000),0))</f>
        <v/>
      </c>
      <c r="Q115" s="15">
        <f>IF(OR(G115="",H115="",H115=0),"",ROUND(G115/H115,0))</f>
        <v/>
      </c>
      <c r="R115" s="16" t="inlineStr">
        <is>
          <t>玩乐跑山 · 通勤代步</t>
        </is>
      </c>
      <c r="S115" s="16" t="inlineStr">
        <is>
          <t>17匹 · 极速110 · 高性能电摩</t>
        </is>
      </c>
      <c r="T115" s="16" t="inlineStr">
        <is>
          <t>12.5kW 中置电机，动力在电摩里第一梯队；操控与底盘调校偏运动，跑山有意思；春风旗下品牌，售后依托春风渠道</t>
        </is>
      </c>
      <c r="U115" s="16" t="inlineStr">
        <is>
          <t>续航约 100km，长途受限；价格接近 1.8 万</t>
        </is>
      </c>
      <c r="V115" s="16" t="inlineStr">
        <is>
          <t>想要电动高性能与运动操控、预算充足的城市玩家</t>
        </is>
      </c>
    </row>
  </sheetData>
  <autoFilter ref="A1:V115"/>
  <conditionalFormatting sqref="N2:N115">
    <cfRule type="cellIs" priority="1" operator="greaterThanOrEqual" dxfId="0">
      <formula>850</formula>
    </cfRule>
    <cfRule type="cellIs" priority="2" operator="lessThanOrEqual" dxfId="1">
      <formula>760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8" customWidth="1" min="3" max="3"/>
  </cols>
  <sheetData>
    <row r="1" ht="26" customHeight="1">
      <c r="A1" s="1" t="inlineStr">
        <is>
          <t>一、字段定义与单位</t>
        </is>
      </c>
    </row>
    <row r="2">
      <c r="A2" s="2" t="inlineStr">
        <is>
          <t>字段</t>
        </is>
      </c>
      <c r="B2" s="2" t="inlineStr">
        <is>
          <t>类型</t>
        </is>
      </c>
      <c r="C2" s="2" t="inlineStr">
        <is>
          <t>说明</t>
        </is>
      </c>
    </row>
    <row r="3">
      <c r="A3" s="12" t="inlineStr">
        <is>
          <t>序号</t>
        </is>
      </c>
      <c r="B3" s="12" t="inlineStr">
        <is>
          <t>序号</t>
        </is>
      </c>
      <c r="C3" s="16" t="inlineStr">
        <is>
          <t>按品类分组后的行号，仅用于阅读定位</t>
        </is>
      </c>
    </row>
    <row r="4">
      <c r="A4" s="12" t="inlineStr">
        <is>
          <t>品牌 / 车型</t>
        </is>
      </c>
      <c r="B4" s="12" t="inlineStr">
        <is>
          <t>文本</t>
        </is>
      </c>
      <c r="C4" s="16" t="inlineStr">
        <is>
          <t>厂商品牌与中文车型名</t>
        </is>
      </c>
    </row>
    <row r="5">
      <c r="A5" s="12" t="inlineStr">
        <is>
          <t>英文名</t>
        </is>
      </c>
      <c r="B5" s="12" t="inlineStr">
        <is>
          <t>文本</t>
        </is>
      </c>
      <c r="C5" s="16" t="inlineStr">
        <is>
          <t>厂商官方英文或国际通称</t>
        </is>
      </c>
    </row>
    <row r="6">
      <c r="A6" s="12" t="inlineStr">
        <is>
          <t>品类</t>
        </is>
      </c>
      <c r="B6" s="12" t="inlineStr">
        <is>
          <t>枚举</t>
        </is>
      </c>
      <c r="C6" s="16" t="inlineStr">
        <is>
          <t>仿赛 / 街车 / 巡航 / 复古 / 拉力ADV / 踏板 / 越野 / 电动摩托，共 8 类</t>
        </is>
      </c>
    </row>
    <row r="7">
      <c r="A7" s="12" t="inlineStr">
        <is>
          <t>产地</t>
        </is>
      </c>
      <c r="B7" s="12" t="inlineStr">
        <is>
          <t>枚举</t>
        </is>
      </c>
      <c r="C7" s="16" t="inlineStr">
        <is>
          <t>国产 / 合资 / 进口</t>
        </is>
      </c>
    </row>
    <row r="8">
      <c r="A8" s="12" t="inlineStr">
        <is>
          <t>参考价(元)</t>
        </is>
      </c>
      <c r="B8" s="12" t="inlineStr">
        <is>
          <t>数字</t>
        </is>
      </c>
      <c r="C8" s="16" t="inlineStr">
        <is>
          <t>厂商指导价或市场参考价（元）。会随促销、地区、库存明显波动</t>
        </is>
      </c>
    </row>
    <row r="9">
      <c r="A9" s="12" t="inlineStr">
        <is>
          <t>排量(cc)</t>
        </is>
      </c>
      <c r="B9" s="12" t="inlineStr">
        <is>
          <t>数字</t>
        </is>
      </c>
      <c r="C9" s="16" t="inlineStr">
        <is>
          <t>发动机实际排量，单位毫升。电动摩托车无排量，记为 0，以电机功率(kW)衡量动力</t>
        </is>
      </c>
    </row>
    <row r="10">
      <c r="A10" s="12" t="inlineStr">
        <is>
          <t>气缸型式</t>
        </is>
      </c>
      <c r="B10" s="12" t="inlineStr">
        <is>
          <t>文本</t>
        </is>
      </c>
      <c r="C10" s="16" t="inlineStr">
        <is>
          <t>气缸排列 + 冷却方式 + 特殊结构（如 270° 曲轴）</t>
        </is>
      </c>
    </row>
    <row r="11">
      <c r="A11" s="12" t="inlineStr">
        <is>
          <t>最大功率(kW)</t>
        </is>
      </c>
      <c r="B11" s="12" t="inlineStr">
        <is>
          <t>数字（1位小数）</t>
        </is>
      </c>
      <c r="C11" s="16" t="inlineStr">
        <is>
          <t>发动机最大功率，千瓦</t>
        </is>
      </c>
    </row>
    <row r="12">
      <c r="A12" s="12" t="inlineStr">
        <is>
          <t>最大马力(Ps)</t>
        </is>
      </c>
      <c r="B12" s="12" t="inlineStr">
        <is>
          <t>数字（1位小数）</t>
        </is>
      </c>
      <c r="C12" s="16" t="inlineStr">
        <is>
          <t>最大功率的公制马力换算值</t>
        </is>
      </c>
    </row>
    <row r="13">
      <c r="A13" s="12" t="inlineStr">
        <is>
          <t>最大扭矩(N·m)</t>
        </is>
      </c>
      <c r="B13" s="12" t="inlineStr">
        <is>
          <t>数字（1位小数）</t>
        </is>
      </c>
      <c r="C13" s="16" t="inlineStr">
        <is>
          <t>发动机峰值扭矩</t>
        </is>
      </c>
    </row>
    <row r="14">
      <c r="A14" s="12" t="inlineStr">
        <is>
          <t>整备质量(kg)</t>
        </is>
      </c>
      <c r="B14" s="12" t="inlineStr">
        <is>
          <t>数字</t>
        </is>
      </c>
      <c r="C14" s="16" t="inlineStr">
        <is>
          <t>含油水的整备质量，影响操控与推车难度</t>
        </is>
      </c>
    </row>
    <row r="15">
      <c r="A15" s="12" t="inlineStr">
        <is>
          <t>座高(mm)</t>
        </is>
      </c>
      <c r="B15" s="12" t="inlineStr">
        <is>
          <t>数字</t>
        </is>
      </c>
      <c r="C15" s="16" t="inlineStr">
        <is>
          <t>决定能否双脚着地，是选车最容易被忽略的关键项</t>
        </is>
      </c>
    </row>
    <row r="16">
      <c r="A16" s="12" t="inlineStr">
        <is>
          <t>油箱(L)</t>
        </is>
      </c>
      <c r="B16" s="12" t="inlineStr">
        <is>
          <t>数字</t>
        </is>
      </c>
      <c r="C16" s="16" t="inlineStr">
        <is>
          <t>油箱容积，结合油耗可估算续航</t>
        </is>
      </c>
    </row>
    <row r="17">
      <c r="A17" s="12" t="inlineStr">
        <is>
          <t>马力/吨</t>
        </is>
      </c>
      <c r="B17" s="12" t="inlineStr">
        <is>
          <t>计算列</t>
        </is>
      </c>
      <c r="C17" s="16" t="inlineStr">
        <is>
          <t>公式：最大马力 ÷ (整备质量 ÷ 1000)，衡量推重比。分母为空或 0 时返回空白</t>
        </is>
      </c>
    </row>
    <row r="18">
      <c r="A18" s="12" t="inlineStr">
        <is>
          <t>每cc单价(元)</t>
        </is>
      </c>
      <c r="B18" s="12" t="inlineStr">
        <is>
          <t>计算列</t>
        </is>
      </c>
      <c r="C18" s="16" t="inlineStr">
        <is>
          <t>公式：参考价 ÷ 排量，衡量排量性价比。分母为空或 0 时返回空白</t>
        </is>
      </c>
    </row>
    <row r="19">
      <c r="A19" s="12" t="inlineStr">
        <is>
          <t>适用场景</t>
        </is>
      </c>
      <c r="B19" s="12" t="inlineStr">
        <is>
          <t>文本</t>
        </is>
      </c>
      <c r="C19" s="16" t="inlineStr">
        <is>
          <t>从通勤代步 / 玩乐跑山 / 长途摩旅 / 越野林道 / 城市巡航 / 新手友好中多选</t>
        </is>
      </c>
    </row>
    <row r="20">
      <c r="A20" s="12" t="inlineStr">
        <is>
          <t>标签 / 优点 / 短板</t>
        </is>
      </c>
      <c r="B20" s="12" t="inlineStr">
        <is>
          <t>文本</t>
        </is>
      </c>
      <c r="C20" s="16" t="inlineStr">
        <is>
          <t>核心卖点、可感知的优点与需要接受的不足</t>
        </is>
      </c>
    </row>
    <row r="21">
      <c r="A21" s="12" t="inlineStr">
        <is>
          <t>适合谁</t>
        </is>
      </c>
      <c r="B21" s="12" t="inlineStr">
        <is>
          <t>文本</t>
        </is>
      </c>
      <c r="C21" s="16" t="inlineStr">
        <is>
          <t>该车最匹配的典型用户画像</t>
        </is>
      </c>
    </row>
    <row r="23" ht="26" customHeight="1">
      <c r="A23" s="1" t="inlineStr">
        <is>
          <t>二、数据来源</t>
        </is>
      </c>
    </row>
    <row r="24">
      <c r="A24" s="2" t="inlineStr">
        <is>
          <t>来源类型</t>
        </is>
      </c>
      <c r="B24" s="2" t="inlineStr">
        <is>
          <t>用于</t>
        </is>
      </c>
      <c r="C24" s="2" t="inlineStr">
        <is>
          <t>说明</t>
        </is>
      </c>
    </row>
    <row r="25">
      <c r="A25" s="12" t="inlineStr">
        <is>
          <t>厂商官方渠道</t>
        </is>
      </c>
      <c r="B25" s="12" t="inlineStr">
        <is>
          <t>参数与价格</t>
        </is>
      </c>
      <c r="C25" s="16" t="inlineStr">
        <is>
          <t>春风 CFMOTO、无极 VOGE、QJMOTOR、凯越、奔达、豪爵、本田、雅马哈、川崎、宝马、杜卡迪、哈雷、凯旋等品牌官网与官方发布稿</t>
        </is>
      </c>
    </row>
    <row r="26">
      <c r="A26" s="12" t="inlineStr">
        <is>
          <t>公开汽车/摩托媒体</t>
        </is>
      </c>
      <c r="B26" s="12" t="inlineStr">
        <is>
          <t>参数、价格、评测</t>
        </is>
      </c>
      <c r="C26" s="16" t="inlineStr">
        <is>
          <t>汽车之家、易车、摩托范（58moto）、今日头条车家号、百度百科等公开报道与实测文章</t>
        </is>
      </c>
    </row>
    <row r="27">
      <c r="A27" s="12" t="inlineStr">
        <is>
          <t>电商官方旗舰店</t>
        </is>
      </c>
      <c r="B27" s="12" t="inlineStr">
        <is>
          <t>在售价格校准</t>
        </is>
      </c>
      <c r="C27" s="16" t="inlineStr">
        <is>
          <t>京东/天猫摩托车自营专区等公开挂牌价，用于校准厂商指导价与实际成交区间</t>
        </is>
      </c>
    </row>
    <row r="28">
      <c r="A28" s="12" t="inlineStr">
        <is>
          <t>公开图库</t>
        </is>
      </c>
      <c r="B28" s="12" t="inlineStr">
        <is>
          <t>车型照片</t>
        </is>
      </c>
      <c r="C28" s="16" t="inlineStr">
        <is>
          <t>品牌官网、上述媒体公开图库；图片仅用于个人选购参考，版权归原作者所有</t>
        </is>
      </c>
    </row>
    <row r="29">
      <c r="A29" s="12" t="inlineStr">
        <is>
          <t>整理时间</t>
        </is>
      </c>
      <c r="B29" s="12" t="inlineStr">
        <is>
          <t>—</t>
        </is>
      </c>
      <c r="C29" s="16" t="inlineStr">
        <is>
          <t>2026 年 9 月</t>
        </is>
      </c>
    </row>
    <row r="31" ht="26" customHeight="1">
      <c r="A31" s="1" t="inlineStr">
        <is>
          <t>三、使用与免责说明</t>
        </is>
      </c>
    </row>
    <row r="32">
      <c r="A32" s="2" t="inlineStr">
        <is>
          <t>事项</t>
        </is>
      </c>
      <c r="B32" s="2" t="inlineStr">
        <is>
          <t>—</t>
        </is>
      </c>
      <c r="C32" s="2" t="inlineStr">
        <is>
          <t>说明</t>
        </is>
      </c>
    </row>
    <row r="33">
      <c r="A33" s="12" t="inlineStr">
        <is>
          <t>价格波动</t>
        </is>
      </c>
      <c r="B33" s="12" t="inlineStr">
        <is>
          <t>—</t>
        </is>
      </c>
      <c r="C33" s="16" t="inlineStr">
        <is>
          <t>本表价格为厂商指导价或市场参考价。实际成交价受地区、经销商促销、库存、选装配置影响，可能有数千至数万元的差异，购车前请以经销商店内实车报价为准。</t>
        </is>
      </c>
    </row>
    <row r="34">
      <c r="A34" s="12" t="inlineStr">
        <is>
          <t>参数口径</t>
        </is>
      </c>
      <c r="B34" s="12" t="inlineStr">
        <is>
          <t>—</t>
        </is>
      </c>
      <c r="C34" s="16" t="inlineStr">
        <is>
          <t>技术参数以厂商官方公布为准。同一车型不同年份改款、不同配置版本（如标准版/三箱版/Pro 版）参数会有差异，本表取主流在售版本的代表值。</t>
        </is>
      </c>
    </row>
    <row r="35">
      <c r="A35" s="12" t="inlineStr">
        <is>
          <t>换算说明</t>
        </is>
      </c>
      <c r="B35" s="12" t="inlineStr">
        <is>
          <t>—</t>
        </is>
      </c>
      <c r="C35" s="16" t="inlineStr">
        <is>
          <t>马力为公制马力（Ps），1 kW ≈ 1.36 Ps；马力/吨与每cc单价为本表派生的参考指标，用于横向对比，非厂商官方口径。</t>
        </is>
      </c>
    </row>
    <row r="36">
      <c r="A36" s="12" t="inlineStr">
        <is>
          <t>选购提示</t>
        </is>
      </c>
      <c r="B36" s="12" t="inlineStr">
        <is>
          <t>—</t>
        </is>
      </c>
      <c r="C36" s="16" t="inlineStr">
        <is>
          <t>参数决定性能上限，用车场景决定满意度。建议先定预算与用途，再按座高筛选，最后到店试驾确认。新手不建议直接上 500cc 以上或高马力车型。</t>
        </is>
      </c>
    </row>
    <row r="37">
      <c r="A37" s="12" t="inlineStr">
        <is>
          <t>版权声明</t>
        </is>
      </c>
      <c r="B37" s="12" t="inlineStr">
        <is>
          <t>—</t>
        </is>
      </c>
      <c r="C37" s="16" t="inlineStr">
        <is>
          <t>本表由公开信息整理汇编，仅供个人学习与选购参考，不构成任何购买建议或商业承诺。</t>
        </is>
      </c>
    </row>
  </sheetData>
  <mergeCells count="3">
    <mergeCell ref="A1:C1"/>
    <mergeCell ref="A23:C23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摩托车公开信息汇总表</dc:title>
  <dcterms:created xsi:type="dcterms:W3CDTF">2026-09-11T10:42:17Z</dcterms:created>
  <dcterms:modified xsi:type="dcterms:W3CDTF">2026-09-11T10:42:17Z</dcterms:modified>
</cp:coreProperties>
</file>